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45676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45676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45676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45676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45676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45676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45676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45676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45676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45676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2562-2025</t>
        </is>
      </c>
      <c r="B20" s="1" t="n">
        <v>45674</v>
      </c>
      <c r="C20" s="1" t="n">
        <v>45676</v>
      </c>
      <c r="D20" t="inlineStr">
        <is>
          <t>VÄSTRA GÖTALANDS LÄN</t>
        </is>
      </c>
      <c r="E20" t="inlineStr">
        <is>
          <t>MUNKEDAL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Svinrot</t>
        </is>
      </c>
      <c r="S20">
        <f>HYPERLINK("https://klasma.github.io/Logging_1430/artfynd/A 2562-2025 artfynd.xlsx", "A 2562-2025")</f>
        <v/>
      </c>
      <c r="T20">
        <f>HYPERLINK("https://klasma.github.io/Logging_1430/kartor/A 2562-2025 karta.png", "A 2562-2025")</f>
        <v/>
      </c>
      <c r="V20">
        <f>HYPERLINK("https://klasma.github.io/Logging_1430/klagomål/A 2562-2025 FSC-klagomål.docx", "A 2562-2025")</f>
        <v/>
      </c>
      <c r="W20">
        <f>HYPERLINK("https://klasma.github.io/Logging_1430/klagomålsmail/A 2562-2025 FSC-klagomål mail.docx", "A 2562-2025")</f>
        <v/>
      </c>
      <c r="X20">
        <f>HYPERLINK("https://klasma.github.io/Logging_1430/tillsyn/A 2562-2025 tillsynsbegäran.docx", "A 2562-2025")</f>
        <v/>
      </c>
      <c r="Y20">
        <f>HYPERLINK("https://klasma.github.io/Logging_1430/tillsynsmail/A 2562-2025 tillsynsbegäran mail.docx", "A 2562-2025")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45676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45676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45676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45676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45676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45676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45676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45676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39812-2022</t>
        </is>
      </c>
      <c r="B29" s="1" t="n">
        <v>44817</v>
      </c>
      <c r="C29" s="1" t="n">
        <v>45676</v>
      </c>
      <c r="D29" t="inlineStr">
        <is>
          <t>VÄSTRA GÖTALANDS LÄN</t>
        </is>
      </c>
      <c r="E29" t="inlineStr">
        <is>
          <t>MUNKEDAL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39812-2022 artfynd.xlsx", "A 39812-2022")</f>
        <v/>
      </c>
      <c r="T29">
        <f>HYPERLINK("https://klasma.github.io/Logging_1430/kartor/A 39812-2022 karta.png", "A 39812-2022")</f>
        <v/>
      </c>
      <c r="V29">
        <f>HYPERLINK("https://klasma.github.io/Logging_1430/klagomål/A 39812-2022 FSC-klagomål.docx", "A 39812-2022")</f>
        <v/>
      </c>
      <c r="W29">
        <f>HYPERLINK("https://klasma.github.io/Logging_1430/klagomålsmail/A 39812-2022 FSC-klagomål mail.docx", "A 39812-2022")</f>
        <v/>
      </c>
      <c r="X29">
        <f>HYPERLINK("https://klasma.github.io/Logging_1430/tillsyn/A 39812-2022 tillsynsbegäran.docx", "A 39812-2022")</f>
        <v/>
      </c>
      <c r="Y29">
        <f>HYPERLINK("https://klasma.github.io/Logging_1430/tillsynsmail/A 39812-2022 tillsynsbegäran mail.docx", "A 39812-2022")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45676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45676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45676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36898-2023</t>
        </is>
      </c>
      <c r="B33" s="1" t="n">
        <v>45154</v>
      </c>
      <c r="C33" s="1" t="n">
        <v>45676</v>
      </c>
      <c r="D33" t="inlineStr">
        <is>
          <t>VÄSTRA GÖTALANDS LÄN</t>
        </is>
      </c>
      <c r="E33" t="inlineStr">
        <is>
          <t>MUNKEDAL</t>
        </is>
      </c>
      <c r="G33" t="n">
        <v>34.3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HYPERLINK("https://klasma.github.io/Logging_1430/artfynd/A 36898-2023 artfynd.xlsx", "A 36898-2023")</f>
        <v/>
      </c>
      <c r="T33">
        <f>HYPERLINK("https://klasma.github.io/Logging_1430/kartor/A 36898-2023 karta.png", "A 36898-2023")</f>
        <v/>
      </c>
      <c r="V33">
        <f>HYPERLINK("https://klasma.github.io/Logging_1430/klagomål/A 36898-2023 FSC-klagomål.docx", "A 36898-2023")</f>
        <v/>
      </c>
      <c r="W33">
        <f>HYPERLINK("https://klasma.github.io/Logging_1430/klagomålsmail/A 36898-2023 FSC-klagomål mail.docx", "A 36898-2023")</f>
        <v/>
      </c>
      <c r="X33">
        <f>HYPERLINK("https://klasma.github.io/Logging_1430/tillsyn/A 36898-2023 tillsynsbegäran.docx", "A 36898-2023")</f>
        <v/>
      </c>
      <c r="Y33">
        <f>HYPERLINK("https://klasma.github.io/Logging_1430/tillsynsmail/A 36898-2023 tillsynsbegäran mail.docx", "A 36898-2023")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45676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2531-2024</t>
        </is>
      </c>
      <c r="B35" s="1" t="n">
        <v>45313</v>
      </c>
      <c r="C35" s="1" t="n">
        <v>45676</v>
      </c>
      <c r="D35" t="inlineStr">
        <is>
          <t>VÄSTRA GÖTALANDS LÄN</t>
        </is>
      </c>
      <c r="E35" t="inlineStr">
        <is>
          <t>MUNKEDAL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2531-2024 artfynd.xlsx", "A 2531-2024")</f>
        <v/>
      </c>
      <c r="T35">
        <f>HYPERLINK("https://klasma.github.io/Logging_1430/kartor/A 2531-2024 karta.png", "A 2531-2024")</f>
        <v/>
      </c>
      <c r="V35">
        <f>HYPERLINK("https://klasma.github.io/Logging_1430/klagomål/A 2531-2024 FSC-klagomål.docx", "A 2531-2024")</f>
        <v/>
      </c>
      <c r="W35">
        <f>HYPERLINK("https://klasma.github.io/Logging_1430/klagomålsmail/A 2531-2024 FSC-klagomål mail.docx", "A 2531-2024")</f>
        <v/>
      </c>
      <c r="X35">
        <f>HYPERLINK("https://klasma.github.io/Logging_1430/tillsyn/A 2531-2024 tillsynsbegäran.docx", "A 2531-2024")</f>
        <v/>
      </c>
      <c r="Y35">
        <f>HYPERLINK("https://klasma.github.io/Logging_1430/tillsynsmail/A 2531-2024 tillsynsbegäran mail.docx", "A 2531-2024")</f>
        <v/>
      </c>
    </row>
    <row r="36" ht="15" customHeight="1">
      <c r="A36" t="inlineStr">
        <is>
          <t>A 24520-2024</t>
        </is>
      </c>
      <c r="B36" s="1" t="n">
        <v>45458</v>
      </c>
      <c r="C36" s="1" t="n">
        <v>45676</v>
      </c>
      <c r="D36" t="inlineStr">
        <is>
          <t>VÄSTRA GÖTALANDS LÄN</t>
        </is>
      </c>
      <c r="E36" t="inlineStr">
        <is>
          <t>MUNKEDAL</t>
        </is>
      </c>
      <c r="G36" t="n">
        <v>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HYPERLINK("https://klasma.github.io/Logging_1430/artfynd/A 24520-2024 artfynd.xlsx", "A 24520-2024")</f>
        <v/>
      </c>
      <c r="T36">
        <f>HYPERLINK("https://klasma.github.io/Logging_1430/kartor/A 24520-2024 karta.png", "A 24520-2024")</f>
        <v/>
      </c>
      <c r="V36">
        <f>HYPERLINK("https://klasma.github.io/Logging_1430/klagomål/A 24520-2024 FSC-klagomål.docx", "A 24520-2024")</f>
        <v/>
      </c>
      <c r="W36">
        <f>HYPERLINK("https://klasma.github.io/Logging_1430/klagomålsmail/A 24520-2024 FSC-klagomål mail.docx", "A 24520-2024")</f>
        <v/>
      </c>
      <c r="X36">
        <f>HYPERLINK("https://klasma.github.io/Logging_1430/tillsyn/A 24520-2024 tillsynsbegäran.docx", "A 24520-2024")</f>
        <v/>
      </c>
      <c r="Y36">
        <f>HYPERLINK("https://klasma.github.io/Logging_1430/tillsynsmail/A 24520-2024 tillsynsbegäran mail.docx", "A 24520-2024")</f>
        <v/>
      </c>
      <c r="Z36">
        <f>HYPERLINK("https://klasma.github.io/Logging_1430/fåglar/A 24520-2024 prioriterade fågelarter.docx", "A 24520-2024")</f>
        <v/>
      </c>
    </row>
    <row r="37" ht="15" customHeight="1">
      <c r="A37" t="inlineStr">
        <is>
          <t>A 37035-2024</t>
        </is>
      </c>
      <c r="B37" s="1" t="n">
        <v>45539</v>
      </c>
      <c r="C37" s="1" t="n">
        <v>45676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Övriga Aktiebolag</t>
        </is>
      </c>
      <c r="G37" t="n">
        <v>43.6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HYPERLINK("https://klasma.github.io/Logging_1430/artfynd/A 37035-2024 artfynd.xlsx", "A 37035-2024")</f>
        <v/>
      </c>
      <c r="T37">
        <f>HYPERLINK("https://klasma.github.io/Logging_1430/kartor/A 37035-2024 karta.png", "A 37035-2024")</f>
        <v/>
      </c>
      <c r="V37">
        <f>HYPERLINK("https://klasma.github.io/Logging_1430/klagomål/A 37035-2024 FSC-klagomål.docx", "A 37035-2024")</f>
        <v/>
      </c>
      <c r="W37">
        <f>HYPERLINK("https://klasma.github.io/Logging_1430/klagomålsmail/A 37035-2024 FSC-klagomål mail.docx", "A 37035-2024")</f>
        <v/>
      </c>
      <c r="X37">
        <f>HYPERLINK("https://klasma.github.io/Logging_1430/tillsyn/A 37035-2024 tillsynsbegäran.docx", "A 37035-2024")</f>
        <v/>
      </c>
      <c r="Y37">
        <f>HYPERLINK("https://klasma.github.io/Logging_1430/tillsynsmail/A 37035-2024 tillsynsbegäran mail.docx", "A 37035-2024")</f>
        <v/>
      </c>
    </row>
    <row r="38" ht="15" customHeight="1">
      <c r="A38" t="inlineStr">
        <is>
          <t>A 45160-2024</t>
        </is>
      </c>
      <c r="B38" s="1" t="n">
        <v>45575</v>
      </c>
      <c r="C38" s="1" t="n">
        <v>45676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HYPERLINK("https://klasma.github.io/Logging_1430/artfynd/A 45160-2024 artfynd.xlsx", "A 45160-2024")</f>
        <v/>
      </c>
      <c r="T38">
        <f>HYPERLINK("https://klasma.github.io/Logging_1430/kartor/A 45160-2024 karta.png", "A 45160-2024")</f>
        <v/>
      </c>
      <c r="V38">
        <f>HYPERLINK("https://klasma.github.io/Logging_1430/klagomål/A 45160-2024 FSC-klagomål.docx", "A 45160-2024")</f>
        <v/>
      </c>
      <c r="W38">
        <f>HYPERLINK("https://klasma.github.io/Logging_1430/klagomålsmail/A 45160-2024 FSC-klagomål mail.docx", "A 45160-2024")</f>
        <v/>
      </c>
      <c r="X38">
        <f>HYPERLINK("https://klasma.github.io/Logging_1430/tillsyn/A 45160-2024 tillsynsbegäran.docx", "A 45160-2024")</f>
        <v/>
      </c>
      <c r="Y38">
        <f>HYPERLINK("https://klasma.github.io/Logging_1430/tillsynsmail/A 45160-2024 tillsynsbegäran mail.docx", "A 45160-2024")</f>
        <v/>
      </c>
      <c r="Z38">
        <f>HYPERLINK("https://klasma.github.io/Logging_1430/fåglar/A 45160-2024 prioriterade fågelarter.docx", "A 45160-2024")</f>
        <v/>
      </c>
    </row>
    <row r="39" ht="15" customHeight="1">
      <c r="A39" t="inlineStr">
        <is>
          <t>A 45394-2024</t>
        </is>
      </c>
      <c r="B39" s="1" t="n">
        <v>45576</v>
      </c>
      <c r="C39" s="1" t="n">
        <v>45676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HYPERLINK("https://klasma.github.io/Logging_1430/artfynd/A 45394-2024 artfynd.xlsx", "A 45394-2024")</f>
        <v/>
      </c>
      <c r="T39">
        <f>HYPERLINK("https://klasma.github.io/Logging_1430/kartor/A 45394-2024 karta.png", "A 45394-2024")</f>
        <v/>
      </c>
      <c r="V39">
        <f>HYPERLINK("https://klasma.github.io/Logging_1430/klagomål/A 45394-2024 FSC-klagomål.docx", "A 45394-2024")</f>
        <v/>
      </c>
      <c r="W39">
        <f>HYPERLINK("https://klasma.github.io/Logging_1430/klagomålsmail/A 45394-2024 FSC-klagomål mail.docx", "A 45394-2024")</f>
        <v/>
      </c>
      <c r="X39">
        <f>HYPERLINK("https://klasma.github.io/Logging_1430/tillsyn/A 45394-2024 tillsynsbegäran.docx", "A 45394-2024")</f>
        <v/>
      </c>
      <c r="Y39">
        <f>HYPERLINK("https://klasma.github.io/Logging_1430/tillsynsmail/A 45394-2024 tillsynsbegäran mail.docx", "A 45394-2024")</f>
        <v/>
      </c>
      <c r="Z39">
        <f>HYPERLINK("https://klasma.github.io/Logging_1430/fåglar/A 45394-2024 prioriterade fågelarter.docx", "A 45394-2024")</f>
        <v/>
      </c>
    </row>
    <row r="40" ht="15" customHeight="1">
      <c r="A40" t="inlineStr">
        <is>
          <t>A 47763-2024</t>
        </is>
      </c>
      <c r="B40" s="1" t="n">
        <v>45588</v>
      </c>
      <c r="C40" s="1" t="n">
        <v>45676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HYPERLINK("https://klasma.github.io/Logging_1430/artfynd/A 47763-2024 artfynd.xlsx", "A 47763-2024")</f>
        <v/>
      </c>
      <c r="T40">
        <f>HYPERLINK("https://klasma.github.io/Logging_1430/kartor/A 47763-2024 karta.png", "A 47763-2024")</f>
        <v/>
      </c>
      <c r="V40">
        <f>HYPERLINK("https://klasma.github.io/Logging_1430/klagomål/A 47763-2024 FSC-klagomål.docx", "A 47763-2024")</f>
        <v/>
      </c>
      <c r="W40">
        <f>HYPERLINK("https://klasma.github.io/Logging_1430/klagomålsmail/A 47763-2024 FSC-klagomål mail.docx", "A 47763-2024")</f>
        <v/>
      </c>
      <c r="X40">
        <f>HYPERLINK("https://klasma.github.io/Logging_1430/tillsyn/A 47763-2024 tillsynsbegäran.docx", "A 47763-2024")</f>
        <v/>
      </c>
      <c r="Y40">
        <f>HYPERLINK("https://klasma.github.io/Logging_1430/tillsynsmail/A 47763-2024 tillsynsbegäran mail.docx", "A 47763-2024")</f>
        <v/>
      </c>
    </row>
    <row r="41" ht="15" customHeight="1">
      <c r="A41" t="inlineStr">
        <is>
          <t>A 60270-2024</t>
        </is>
      </c>
      <c r="B41" s="1" t="n">
        <v>45642</v>
      </c>
      <c r="C41" s="1" t="n">
        <v>45676</v>
      </c>
      <c r="D41" t="inlineStr">
        <is>
          <t>VÄSTRA GÖTALANDS LÄN</t>
        </is>
      </c>
      <c r="E41" t="inlineStr">
        <is>
          <t>MUNKEDAL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Berguv</t>
        </is>
      </c>
      <c r="S41">
        <f>HYPERLINK("https://klasma.github.io/Logging_1430/artfynd/A 60270-2024 artfynd.xlsx", "A 60270-2024")</f>
        <v/>
      </c>
      <c r="T41">
        <f>HYPERLINK("https://klasma.github.io/Logging_1430/kartor/A 60270-2024 karta.png", "A 60270-2024")</f>
        <v/>
      </c>
      <c r="V41">
        <f>HYPERLINK("https://klasma.github.io/Logging_1430/klagomål/A 60270-2024 FSC-klagomål.docx", "A 60270-2024")</f>
        <v/>
      </c>
      <c r="W41">
        <f>HYPERLINK("https://klasma.github.io/Logging_1430/klagomålsmail/A 60270-2024 FSC-klagomål mail.docx", "A 60270-2024")</f>
        <v/>
      </c>
      <c r="X41">
        <f>HYPERLINK("https://klasma.github.io/Logging_1430/tillsyn/A 60270-2024 tillsynsbegäran.docx", "A 60270-2024")</f>
        <v/>
      </c>
      <c r="Y41">
        <f>HYPERLINK("https://klasma.github.io/Logging_1430/tillsynsmail/A 60270-2024 tillsynsbegäran mail.docx", "A 60270-2024")</f>
        <v/>
      </c>
      <c r="Z41">
        <f>HYPERLINK("https://klasma.github.io/Logging_1430/fåglar/A 60270-2024 prioriterade fågelarter.docx", "A 60270-2024")</f>
        <v/>
      </c>
    </row>
    <row r="42" ht="15" customHeight="1">
      <c r="A42" t="inlineStr">
        <is>
          <t>A 18458-2019</t>
        </is>
      </c>
      <c r="B42" s="1" t="n">
        <v>43559</v>
      </c>
      <c r="C42" s="1" t="n">
        <v>45676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18362-2019</t>
        </is>
      </c>
      <c r="B43" s="1" t="n">
        <v>43559</v>
      </c>
      <c r="C43" s="1" t="n">
        <v>45676</v>
      </c>
      <c r="D43" t="inlineStr">
        <is>
          <t>VÄSTRA GÖTALANDS LÄN</t>
        </is>
      </c>
      <c r="E43" t="inlineStr">
        <is>
          <t>MUNKEDAL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18783-2019</t>
        </is>
      </c>
      <c r="B44" s="1" t="n">
        <v>43562</v>
      </c>
      <c r="C44" s="1" t="n">
        <v>45676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18787-2019</t>
        </is>
      </c>
      <c r="B45" s="1" t="n">
        <v>43562</v>
      </c>
      <c r="C45" s="1" t="n">
        <v>45676</v>
      </c>
      <c r="D45" t="inlineStr">
        <is>
          <t>VÄSTRA GÖTALANDS LÄN</t>
        </is>
      </c>
      <c r="E45" t="inlineStr">
        <is>
          <t>MUNKEDAL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22768-2019</t>
        </is>
      </c>
      <c r="B46" s="1" t="n">
        <v>43588</v>
      </c>
      <c r="C46" s="1" t="n">
        <v>45676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22706-2019</t>
        </is>
      </c>
      <c r="B47" s="1" t="n">
        <v>43588</v>
      </c>
      <c r="C47" s="1" t="n">
        <v>45676</v>
      </c>
      <c r="D47" t="inlineStr">
        <is>
          <t>VÄSTRA GÖTALANDS LÄN</t>
        </is>
      </c>
      <c r="E47" t="inlineStr">
        <is>
          <t>MUNKEDAL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29134-2019</t>
        </is>
      </c>
      <c r="B48" s="1" t="n">
        <v>43628</v>
      </c>
      <c r="C48" s="1" t="n">
        <v>45676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29545-2019</t>
        </is>
      </c>
      <c r="B49" s="1" t="n">
        <v>43630</v>
      </c>
      <c r="C49" s="1" t="n">
        <v>45676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30273-2019</t>
        </is>
      </c>
      <c r="B50" s="1" t="n">
        <v>43632</v>
      </c>
      <c r="C50" s="1" t="n">
        <v>45676</v>
      </c>
      <c r="D50" t="inlineStr">
        <is>
          <t>VÄSTRA GÖTALANDS LÄN</t>
        </is>
      </c>
      <c r="E50" t="inlineStr">
        <is>
          <t>MUNKEDAL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31920-2019</t>
        </is>
      </c>
      <c r="B51" s="1" t="n">
        <v>43641</v>
      </c>
      <c r="C51" s="1" t="n">
        <v>45676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40599-2019</t>
        </is>
      </c>
      <c r="B52" s="1" t="n">
        <v>43696</v>
      </c>
      <c r="C52" s="1" t="n">
        <v>45676</v>
      </c>
      <c r="D52" t="inlineStr">
        <is>
          <t>VÄSTRA GÖTALANDS LÄN</t>
        </is>
      </c>
      <c r="E52" t="inlineStr">
        <is>
          <t>MUNKEDAL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44512-2019</t>
        </is>
      </c>
      <c r="B53" s="1" t="n">
        <v>43711</v>
      </c>
      <c r="C53" s="1" t="n">
        <v>45676</v>
      </c>
      <c r="D53" t="inlineStr">
        <is>
          <t>VÄSTRA GÖTALANDS LÄN</t>
        </is>
      </c>
      <c r="E53" t="inlineStr">
        <is>
          <t>MUNKEDAL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44517-2019</t>
        </is>
      </c>
      <c r="B54" s="1" t="n">
        <v>43711</v>
      </c>
      <c r="C54" s="1" t="n">
        <v>45676</v>
      </c>
      <c r="D54" t="inlineStr">
        <is>
          <t>VÄSTRA GÖTALANDS LÄN</t>
        </is>
      </c>
      <c r="E54" t="inlineStr">
        <is>
          <t>MUNKEDAL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47063-2019</t>
        </is>
      </c>
      <c r="B55" s="1" t="n">
        <v>43720</v>
      </c>
      <c r="C55" s="1" t="n">
        <v>45676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47538-2019</t>
        </is>
      </c>
      <c r="B56" s="1" t="n">
        <v>43724</v>
      </c>
      <c r="C56" s="1" t="n">
        <v>45676</v>
      </c>
      <c r="D56" t="inlineStr">
        <is>
          <t>VÄSTRA GÖTALANDS LÄN</t>
        </is>
      </c>
      <c r="E56" t="inlineStr">
        <is>
          <t>MUNKEDAL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49250-2019</t>
        </is>
      </c>
      <c r="B57" s="1" t="n">
        <v>43731</v>
      </c>
      <c r="C57" s="1" t="n">
        <v>45676</v>
      </c>
      <c r="D57" t="inlineStr">
        <is>
          <t>VÄSTRA GÖTALANDS LÄN</t>
        </is>
      </c>
      <c r="E57" t="inlineStr">
        <is>
          <t>MUNKEDAL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49495-2019</t>
        </is>
      </c>
      <c r="B58" s="1" t="n">
        <v>43732</v>
      </c>
      <c r="C58" s="1" t="n">
        <v>45676</v>
      </c>
      <c r="D58" t="inlineStr">
        <is>
          <t>VÄSTRA GÖTALANDS LÄN</t>
        </is>
      </c>
      <c r="E58" t="inlineStr">
        <is>
          <t>MUNKEDAL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49486-2019</t>
        </is>
      </c>
      <c r="B59" s="1" t="n">
        <v>43732</v>
      </c>
      <c r="C59" s="1" t="n">
        <v>45676</v>
      </c>
      <c r="D59" t="inlineStr">
        <is>
          <t>VÄSTRA GÖTALANDS LÄN</t>
        </is>
      </c>
      <c r="E59" t="inlineStr">
        <is>
          <t>MUNKEDAL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49862-2019</t>
        </is>
      </c>
      <c r="B60" s="1" t="n">
        <v>43733</v>
      </c>
      <c r="C60" s="1" t="n">
        <v>45676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50660-2019</t>
        </is>
      </c>
      <c r="B61" s="1" t="n">
        <v>43737</v>
      </c>
      <c r="C61" s="1" t="n">
        <v>45676</v>
      </c>
      <c r="D61" t="inlineStr">
        <is>
          <t>VÄSTRA GÖTALANDS LÄN</t>
        </is>
      </c>
      <c r="E61" t="inlineStr">
        <is>
          <t>MUNKEDAL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58112-2019</t>
        </is>
      </c>
      <c r="B62" s="1" t="n">
        <v>43766</v>
      </c>
      <c r="C62" s="1" t="n">
        <v>45676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57778-2019</t>
        </is>
      </c>
      <c r="B63" s="1" t="n">
        <v>43768</v>
      </c>
      <c r="C63" s="1" t="n">
        <v>45676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60797-2019</t>
        </is>
      </c>
      <c r="B64" s="1" t="n">
        <v>43781</v>
      </c>
      <c r="C64" s="1" t="n">
        <v>45676</v>
      </c>
      <c r="D64" t="inlineStr">
        <is>
          <t>VÄSTRA GÖTALANDS LÄN</t>
        </is>
      </c>
      <c r="E64" t="inlineStr">
        <is>
          <t>MUNKEDAL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61737-2019</t>
        </is>
      </c>
      <c r="B65" s="1" t="n">
        <v>43784</v>
      </c>
      <c r="C65" s="1" t="n">
        <v>45676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63173-2019</t>
        </is>
      </c>
      <c r="B66" s="1" t="n">
        <v>43791</v>
      </c>
      <c r="C66" s="1" t="n">
        <v>45676</v>
      </c>
      <c r="D66" t="inlineStr">
        <is>
          <t>VÄSTRA GÖTALANDS LÄN</t>
        </is>
      </c>
      <c r="E66" t="inlineStr">
        <is>
          <t>MUNKEDAL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64599-2019</t>
        </is>
      </c>
      <c r="B67" s="1" t="n">
        <v>43794</v>
      </c>
      <c r="C67" s="1" t="n">
        <v>45676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64867-2019</t>
        </is>
      </c>
      <c r="B68" s="1" t="n">
        <v>43801</v>
      </c>
      <c r="C68" s="1" t="n">
        <v>45676</v>
      </c>
      <c r="D68" t="inlineStr">
        <is>
          <t>VÄSTRA GÖTALANDS LÄN</t>
        </is>
      </c>
      <c r="E68" t="inlineStr">
        <is>
          <t>MUNKEDAL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67288-2019</t>
        </is>
      </c>
      <c r="B69" s="1" t="n">
        <v>43812</v>
      </c>
      <c r="C69" s="1" t="n">
        <v>45676</v>
      </c>
      <c r="D69" t="inlineStr">
        <is>
          <t>VÄSTRA GÖTALANDS LÄN</t>
        </is>
      </c>
      <c r="E69" t="inlineStr">
        <is>
          <t>MUNKEDAL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1608-2020</t>
        </is>
      </c>
      <c r="B70" s="1" t="n">
        <v>43829</v>
      </c>
      <c r="C70" s="1" t="n">
        <v>45676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83-2020</t>
        </is>
      </c>
      <c r="B71" s="1" t="n">
        <v>43832</v>
      </c>
      <c r="C71" s="1" t="n">
        <v>45676</v>
      </c>
      <c r="D71" t="inlineStr">
        <is>
          <t>VÄSTRA GÖTALANDS LÄN</t>
        </is>
      </c>
      <c r="E71" t="inlineStr">
        <is>
          <t>MUNKEDAL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79-2020</t>
        </is>
      </c>
      <c r="B72" s="1" t="n">
        <v>43832</v>
      </c>
      <c r="C72" s="1" t="n">
        <v>45676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142-2020</t>
        </is>
      </c>
      <c r="B73" s="1" t="n">
        <v>43833</v>
      </c>
      <c r="C73" s="1" t="n">
        <v>45676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143-2020</t>
        </is>
      </c>
      <c r="B74" s="1" t="n">
        <v>43833</v>
      </c>
      <c r="C74" s="1" t="n">
        <v>45676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4638-2020</t>
        </is>
      </c>
      <c r="B75" s="1" t="n">
        <v>43851</v>
      </c>
      <c r="C75" s="1" t="n">
        <v>45676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4432-2020</t>
        </is>
      </c>
      <c r="B76" s="1" t="n">
        <v>43858</v>
      </c>
      <c r="C76" s="1" t="n">
        <v>45676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5392-2020</t>
        </is>
      </c>
      <c r="B77" s="1" t="n">
        <v>43860</v>
      </c>
      <c r="C77" s="1" t="n">
        <v>45676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5895-2020</t>
        </is>
      </c>
      <c r="B78" s="1" t="n">
        <v>43861</v>
      </c>
      <c r="C78" s="1" t="n">
        <v>45676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5893-2020</t>
        </is>
      </c>
      <c r="B79" s="1" t="n">
        <v>43861</v>
      </c>
      <c r="C79" s="1" t="n">
        <v>45676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7138-2020</t>
        </is>
      </c>
      <c r="B80" s="1" t="n">
        <v>43869</v>
      </c>
      <c r="C80" s="1" t="n">
        <v>45676</v>
      </c>
      <c r="D80" t="inlineStr">
        <is>
          <t>VÄSTRA GÖTALANDS LÄN</t>
        </is>
      </c>
      <c r="E80" t="inlineStr">
        <is>
          <t>MUNKEDAL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9305-2020</t>
        </is>
      </c>
      <c r="B81" s="1" t="n">
        <v>43878</v>
      </c>
      <c r="C81" s="1" t="n">
        <v>45676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12263-2020</t>
        </is>
      </c>
      <c r="B82" s="1" t="n">
        <v>43895</v>
      </c>
      <c r="C82" s="1" t="n">
        <v>45676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13736-2020</t>
        </is>
      </c>
      <c r="B83" s="1" t="n">
        <v>43896</v>
      </c>
      <c r="C83" s="1" t="n">
        <v>45676</v>
      </c>
      <c r="D83" t="inlineStr">
        <is>
          <t>VÄSTRA GÖTALANDS LÄN</t>
        </is>
      </c>
      <c r="E83" t="inlineStr">
        <is>
          <t>MUNKEDAL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12477-2020</t>
        </is>
      </c>
      <c r="B84" s="1" t="n">
        <v>43896</v>
      </c>
      <c r="C84" s="1" t="n">
        <v>45676</v>
      </c>
      <c r="D84" t="inlineStr">
        <is>
          <t>VÄSTRA GÖTALANDS LÄN</t>
        </is>
      </c>
      <c r="E84" t="inlineStr">
        <is>
          <t>MUNKEDAL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13752-2020</t>
        </is>
      </c>
      <c r="B85" s="1" t="n">
        <v>43896</v>
      </c>
      <c r="C85" s="1" t="n">
        <v>45676</v>
      </c>
      <c r="D85" t="inlineStr">
        <is>
          <t>VÄSTRA GÖTALANDS LÄN</t>
        </is>
      </c>
      <c r="E85" t="inlineStr">
        <is>
          <t>MUNKEDAL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13755-2020</t>
        </is>
      </c>
      <c r="B86" s="1" t="n">
        <v>43896</v>
      </c>
      <c r="C86" s="1" t="n">
        <v>45676</v>
      </c>
      <c r="D86" t="inlineStr">
        <is>
          <t>VÄSTRA GÖTALANDS LÄN</t>
        </is>
      </c>
      <c r="E86" t="inlineStr">
        <is>
          <t>MUNKEDAL</t>
        </is>
      </c>
      <c r="G86" t="n">
        <v>37.8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13751-2020</t>
        </is>
      </c>
      <c r="B87" s="1" t="n">
        <v>43896</v>
      </c>
      <c r="C87" s="1" t="n">
        <v>45676</v>
      </c>
      <c r="D87" t="inlineStr">
        <is>
          <t>VÄSTRA GÖTALANDS LÄN</t>
        </is>
      </c>
      <c r="E87" t="inlineStr">
        <is>
          <t>MUNKEDAL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12865-2020</t>
        </is>
      </c>
      <c r="B88" s="1" t="n">
        <v>43899</v>
      </c>
      <c r="C88" s="1" t="n">
        <v>45676</v>
      </c>
      <c r="D88" t="inlineStr">
        <is>
          <t>VÄSTRA GÖTALANDS LÄN</t>
        </is>
      </c>
      <c r="E88" t="inlineStr">
        <is>
          <t>MUNKEDAL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12872-2020</t>
        </is>
      </c>
      <c r="B89" s="1" t="n">
        <v>43899</v>
      </c>
      <c r="C89" s="1" t="n">
        <v>45676</v>
      </c>
      <c r="D89" t="inlineStr">
        <is>
          <t>VÄSTRA GÖTALANDS LÄN</t>
        </is>
      </c>
      <c r="E89" t="inlineStr">
        <is>
          <t>MUNKEDAL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14357-2020</t>
        </is>
      </c>
      <c r="B90" s="1" t="n">
        <v>43908</v>
      </c>
      <c r="C90" s="1" t="n">
        <v>45676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16744-2020</t>
        </is>
      </c>
      <c r="B91" s="1" t="n">
        <v>43920</v>
      </c>
      <c r="C91" s="1" t="n">
        <v>45676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16726-2020</t>
        </is>
      </c>
      <c r="B92" s="1" t="n">
        <v>43920</v>
      </c>
      <c r="C92" s="1" t="n">
        <v>45676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18161-2020</t>
        </is>
      </c>
      <c r="B93" s="1" t="n">
        <v>43924</v>
      </c>
      <c r="C93" s="1" t="n">
        <v>45676</v>
      </c>
      <c r="D93" t="inlineStr">
        <is>
          <t>VÄSTRA GÖTALANDS LÄN</t>
        </is>
      </c>
      <c r="E93" t="inlineStr">
        <is>
          <t>MUNKEDAL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18353-2020</t>
        </is>
      </c>
      <c r="B94" s="1" t="n">
        <v>43928</v>
      </c>
      <c r="C94" s="1" t="n">
        <v>45676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18794-2020</t>
        </is>
      </c>
      <c r="B95" s="1" t="n">
        <v>43932</v>
      </c>
      <c r="C95" s="1" t="n">
        <v>45676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20013-2020</t>
        </is>
      </c>
      <c r="B96" s="1" t="n">
        <v>43943</v>
      </c>
      <c r="C96" s="1" t="n">
        <v>45676</v>
      </c>
      <c r="D96" t="inlineStr">
        <is>
          <t>VÄSTRA GÖTALANDS LÄN</t>
        </is>
      </c>
      <c r="E96" t="inlineStr">
        <is>
          <t>MUNKEDAL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20471-2020</t>
        </is>
      </c>
      <c r="B97" s="1" t="n">
        <v>43945</v>
      </c>
      <c r="C97" s="1" t="n">
        <v>45676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21693-2020</t>
        </is>
      </c>
      <c r="B98" s="1" t="n">
        <v>43957</v>
      </c>
      <c r="C98" s="1" t="n">
        <v>45676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21627-2020</t>
        </is>
      </c>
      <c r="B99" s="1" t="n">
        <v>43957</v>
      </c>
      <c r="C99" s="1" t="n">
        <v>45676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23251-2020</t>
        </is>
      </c>
      <c r="B100" s="1" t="n">
        <v>43964</v>
      </c>
      <c r="C100" s="1" t="n">
        <v>45676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25455-2020</t>
        </is>
      </c>
      <c r="B101" s="1" t="n">
        <v>43983</v>
      </c>
      <c r="C101" s="1" t="n">
        <v>45676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26417-2020</t>
        </is>
      </c>
      <c r="B102" s="1" t="n">
        <v>43987</v>
      </c>
      <c r="C102" s="1" t="n">
        <v>45676</v>
      </c>
      <c r="D102" t="inlineStr">
        <is>
          <t>VÄSTRA GÖTALANDS LÄN</t>
        </is>
      </c>
      <c r="E102" t="inlineStr">
        <is>
          <t>MUNKEDAL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30835-2020</t>
        </is>
      </c>
      <c r="B103" s="1" t="n">
        <v>44011</v>
      </c>
      <c r="C103" s="1" t="n">
        <v>45676</v>
      </c>
      <c r="D103" t="inlineStr">
        <is>
          <t>VÄSTRA GÖTALANDS LÄN</t>
        </is>
      </c>
      <c r="E103" t="inlineStr">
        <is>
          <t>MUNKEDAL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31713-2020</t>
        </is>
      </c>
      <c r="B104" s="1" t="n">
        <v>44014</v>
      </c>
      <c r="C104" s="1" t="n">
        <v>45676</v>
      </c>
      <c r="D104" t="inlineStr">
        <is>
          <t>VÄSTRA GÖTALANDS LÄN</t>
        </is>
      </c>
      <c r="E104" t="inlineStr">
        <is>
          <t>MUNKEDAL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32124-2020</t>
        </is>
      </c>
      <c r="B105" s="1" t="n">
        <v>44014</v>
      </c>
      <c r="C105" s="1" t="n">
        <v>45676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32125-2020</t>
        </is>
      </c>
      <c r="B106" s="1" t="n">
        <v>44014</v>
      </c>
      <c r="C106" s="1" t="n">
        <v>45676</v>
      </c>
      <c r="D106" t="inlineStr">
        <is>
          <t>VÄSTRA GÖTALANDS LÄN</t>
        </is>
      </c>
      <c r="E106" t="inlineStr">
        <is>
          <t>MUNKEDAL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32082-2020</t>
        </is>
      </c>
      <c r="B107" s="1" t="n">
        <v>44015</v>
      </c>
      <c r="C107" s="1" t="n">
        <v>45676</v>
      </c>
      <c r="D107" t="inlineStr">
        <is>
          <t>VÄSTRA GÖTALANDS LÄN</t>
        </is>
      </c>
      <c r="E107" t="inlineStr">
        <is>
          <t>MUNKEDAL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34358-2020</t>
        </is>
      </c>
      <c r="B108" s="1" t="n">
        <v>44028</v>
      </c>
      <c r="C108" s="1" t="n">
        <v>45676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35750-2020</t>
        </is>
      </c>
      <c r="B109" s="1" t="n">
        <v>44046</v>
      </c>
      <c r="C109" s="1" t="n">
        <v>45676</v>
      </c>
      <c r="D109" t="inlineStr">
        <is>
          <t>VÄSTRA GÖTALANDS LÄN</t>
        </is>
      </c>
      <c r="E109" t="inlineStr">
        <is>
          <t>MUNKEDAL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38949-2020</t>
        </is>
      </c>
      <c r="B110" s="1" t="n">
        <v>44062</v>
      </c>
      <c r="C110" s="1" t="n">
        <v>45676</v>
      </c>
      <c r="D110" t="inlineStr">
        <is>
          <t>VÄSTRA GÖTALANDS LÄN</t>
        </is>
      </c>
      <c r="E110" t="inlineStr">
        <is>
          <t>MUNKEDAL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38927-2020</t>
        </is>
      </c>
      <c r="B111" s="1" t="n">
        <v>44062</v>
      </c>
      <c r="C111" s="1" t="n">
        <v>45676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39142-2020</t>
        </is>
      </c>
      <c r="B112" s="1" t="n">
        <v>44063</v>
      </c>
      <c r="C112" s="1" t="n">
        <v>45676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39587-2020</t>
        </is>
      </c>
      <c r="B113" s="1" t="n">
        <v>44063</v>
      </c>
      <c r="C113" s="1" t="n">
        <v>45676</v>
      </c>
      <c r="D113" t="inlineStr">
        <is>
          <t>VÄSTRA GÖTALANDS LÄN</t>
        </is>
      </c>
      <c r="E113" t="inlineStr">
        <is>
          <t>MUNKEDAL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40849-2020</t>
        </is>
      </c>
      <c r="B114" s="1" t="n">
        <v>44070</v>
      </c>
      <c r="C114" s="1" t="n">
        <v>45676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41593-2020</t>
        </is>
      </c>
      <c r="B115" s="1" t="n">
        <v>44070</v>
      </c>
      <c r="C115" s="1" t="n">
        <v>45676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41154-2020</t>
        </is>
      </c>
      <c r="B116" s="1" t="n">
        <v>44071</v>
      </c>
      <c r="C116" s="1" t="n">
        <v>45676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42916-2020</t>
        </is>
      </c>
      <c r="B117" s="1" t="n">
        <v>44078</v>
      </c>
      <c r="C117" s="1" t="n">
        <v>45676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45713-2020</t>
        </is>
      </c>
      <c r="B118" s="1" t="n">
        <v>44086</v>
      </c>
      <c r="C118" s="1" t="n">
        <v>45676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49098-2020</t>
        </is>
      </c>
      <c r="B119" s="1" t="n">
        <v>44104</v>
      </c>
      <c r="C119" s="1" t="n">
        <v>45676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49427-2020</t>
        </is>
      </c>
      <c r="B120" s="1" t="n">
        <v>44105</v>
      </c>
      <c r="C120" s="1" t="n">
        <v>45676</v>
      </c>
      <c r="D120" t="inlineStr">
        <is>
          <t>VÄSTRA GÖTALANDS LÄN</t>
        </is>
      </c>
      <c r="E120" t="inlineStr">
        <is>
          <t>MUNKEDAL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51104-2020</t>
        </is>
      </c>
      <c r="B121" s="1" t="n">
        <v>44112</v>
      </c>
      <c r="C121" s="1" t="n">
        <v>45676</v>
      </c>
      <c r="D121" t="inlineStr">
        <is>
          <t>VÄSTRA GÖTALANDS LÄN</t>
        </is>
      </c>
      <c r="E121" t="inlineStr">
        <is>
          <t>MUNKEDAL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51114-2020</t>
        </is>
      </c>
      <c r="B122" s="1" t="n">
        <v>44112</v>
      </c>
      <c r="C122" s="1" t="n">
        <v>45676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51124-2020</t>
        </is>
      </c>
      <c r="B123" s="1" t="n">
        <v>44112</v>
      </c>
      <c r="C123" s="1" t="n">
        <v>45676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57179-2020</t>
        </is>
      </c>
      <c r="B124" s="1" t="n">
        <v>44112</v>
      </c>
      <c r="C124" s="1" t="n">
        <v>45676</v>
      </c>
      <c r="D124" t="inlineStr">
        <is>
          <t>VÄSTRA GÖTALANDS LÄN</t>
        </is>
      </c>
      <c r="E124" t="inlineStr">
        <is>
          <t>MUNKEDAL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57210-2020</t>
        </is>
      </c>
      <c r="B125" s="1" t="n">
        <v>44112</v>
      </c>
      <c r="C125" s="1" t="n">
        <v>45676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53913-2020</t>
        </is>
      </c>
      <c r="B126" s="1" t="n">
        <v>44125</v>
      </c>
      <c r="C126" s="1" t="n">
        <v>45676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54948-2020</t>
        </is>
      </c>
      <c r="B127" s="1" t="n">
        <v>44129</v>
      </c>
      <c r="C127" s="1" t="n">
        <v>45676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60207-2020</t>
        </is>
      </c>
      <c r="B128" s="1" t="n">
        <v>44152</v>
      </c>
      <c r="C128" s="1" t="n">
        <v>45676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60209-2020</t>
        </is>
      </c>
      <c r="B129" s="1" t="n">
        <v>44152</v>
      </c>
      <c r="C129" s="1" t="n">
        <v>45676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60470-2020</t>
        </is>
      </c>
      <c r="B130" s="1" t="n">
        <v>44153</v>
      </c>
      <c r="C130" s="1" t="n">
        <v>45676</v>
      </c>
      <c r="D130" t="inlineStr">
        <is>
          <t>VÄSTRA GÖTALANDS LÄN</t>
        </is>
      </c>
      <c r="E130" t="inlineStr">
        <is>
          <t>MUNKEDAL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45676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60416-2020</t>
        </is>
      </c>
      <c r="B132" s="1" t="n">
        <v>44153</v>
      </c>
      <c r="C132" s="1" t="n">
        <v>45676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62257-2020</t>
        </is>
      </c>
      <c r="B133" s="1" t="n">
        <v>44155</v>
      </c>
      <c r="C133" s="1" t="n">
        <v>45676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62313-2020</t>
        </is>
      </c>
      <c r="B134" s="1" t="n">
        <v>44160</v>
      </c>
      <c r="C134" s="1" t="n">
        <v>45676</v>
      </c>
      <c r="D134" t="inlineStr">
        <is>
          <t>VÄSTRA GÖTALANDS LÄN</t>
        </is>
      </c>
      <c r="E134" t="inlineStr">
        <is>
          <t>MUNKEDAL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62712-2020</t>
        </is>
      </c>
      <c r="B135" s="1" t="n">
        <v>44161</v>
      </c>
      <c r="C135" s="1" t="n">
        <v>45676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64122-2020</t>
        </is>
      </c>
      <c r="B136" s="1" t="n">
        <v>44166</v>
      </c>
      <c r="C136" s="1" t="n">
        <v>45676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65461-2020</t>
        </is>
      </c>
      <c r="B137" s="1" t="n">
        <v>44170</v>
      </c>
      <c r="C137" s="1" t="n">
        <v>45676</v>
      </c>
      <c r="D137" t="inlineStr">
        <is>
          <t>VÄSTRA GÖTALANDS LÄN</t>
        </is>
      </c>
      <c r="E137" t="inlineStr">
        <is>
          <t>MUNKEDAL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65471-2020</t>
        </is>
      </c>
      <c r="B138" s="1" t="n">
        <v>44171</v>
      </c>
      <c r="C138" s="1" t="n">
        <v>45676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103-2021</t>
        </is>
      </c>
      <c r="B139" s="1" t="n">
        <v>44200</v>
      </c>
      <c r="C139" s="1" t="n">
        <v>45676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889-2021</t>
        </is>
      </c>
      <c r="B140" s="1" t="n">
        <v>44206</v>
      </c>
      <c r="C140" s="1" t="n">
        <v>45676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2926-2021</t>
        </is>
      </c>
      <c r="B141" s="1" t="n">
        <v>44216</v>
      </c>
      <c r="C141" s="1" t="n">
        <v>45676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4332-2021</t>
        </is>
      </c>
      <c r="B142" s="1" t="n">
        <v>44223</v>
      </c>
      <c r="C142" s="1" t="n">
        <v>45676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5405-2021</t>
        </is>
      </c>
      <c r="B143" s="1" t="n">
        <v>44228</v>
      </c>
      <c r="C143" s="1" t="n">
        <v>45676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6899-2021</t>
        </is>
      </c>
      <c r="B144" s="1" t="n">
        <v>44237</v>
      </c>
      <c r="C144" s="1" t="n">
        <v>45676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7157-2021</t>
        </is>
      </c>
      <c r="B145" s="1" t="n">
        <v>44238</v>
      </c>
      <c r="C145" s="1" t="n">
        <v>45676</v>
      </c>
      <c r="D145" t="inlineStr">
        <is>
          <t>VÄSTRA GÖTALANDS LÄN</t>
        </is>
      </c>
      <c r="E145" t="inlineStr">
        <is>
          <t>MUNKEDAL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8093-2021</t>
        </is>
      </c>
      <c r="B146" s="1" t="n">
        <v>44242</v>
      </c>
      <c r="C146" s="1" t="n">
        <v>45676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8913-2021</t>
        </is>
      </c>
      <c r="B147" s="1" t="n">
        <v>44246</v>
      </c>
      <c r="C147" s="1" t="n">
        <v>45676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9577-2021</t>
        </is>
      </c>
      <c r="B148" s="1" t="n">
        <v>44251</v>
      </c>
      <c r="C148" s="1" t="n">
        <v>45676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13884-2021</t>
        </is>
      </c>
      <c r="B149" s="1" t="n">
        <v>44277</v>
      </c>
      <c r="C149" s="1" t="n">
        <v>45676</v>
      </c>
      <c r="D149" t="inlineStr">
        <is>
          <t>VÄSTRA GÖTALANDS LÄN</t>
        </is>
      </c>
      <c r="E149" t="inlineStr">
        <is>
          <t>MUNKEDAL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13969-2021</t>
        </is>
      </c>
      <c r="B150" s="1" t="n">
        <v>44277</v>
      </c>
      <c r="C150" s="1" t="n">
        <v>45676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17507-2021</t>
        </is>
      </c>
      <c r="B151" s="1" t="n">
        <v>44299</v>
      </c>
      <c r="C151" s="1" t="n">
        <v>45676</v>
      </c>
      <c r="D151" t="inlineStr">
        <is>
          <t>VÄSTRA GÖTALANDS LÄN</t>
        </is>
      </c>
      <c r="E151" t="inlineStr">
        <is>
          <t>MUNKEDAL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20936-2021</t>
        </is>
      </c>
      <c r="B152" s="1" t="n">
        <v>44318</v>
      </c>
      <c r="C152" s="1" t="n">
        <v>45676</v>
      </c>
      <c r="D152" t="inlineStr">
        <is>
          <t>VÄSTRA GÖTALANDS LÄN</t>
        </is>
      </c>
      <c r="E152" t="inlineStr">
        <is>
          <t>MUNKEDAL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22162-2021</t>
        </is>
      </c>
      <c r="B153" s="1" t="n">
        <v>44325</v>
      </c>
      <c r="C153" s="1" t="n">
        <v>45676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27387-2021</t>
        </is>
      </c>
      <c r="B154" s="1" t="n">
        <v>44351</v>
      </c>
      <c r="C154" s="1" t="n">
        <v>45676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27632-2021</t>
        </is>
      </c>
      <c r="B155" s="1" t="n">
        <v>44354</v>
      </c>
      <c r="C155" s="1" t="n">
        <v>45676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28354-2021</t>
        </is>
      </c>
      <c r="B156" s="1" t="n">
        <v>44356</v>
      </c>
      <c r="C156" s="1" t="n">
        <v>45676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28375-2021</t>
        </is>
      </c>
      <c r="B157" s="1" t="n">
        <v>44356</v>
      </c>
      <c r="C157" s="1" t="n">
        <v>45676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28379-2021</t>
        </is>
      </c>
      <c r="B158" s="1" t="n">
        <v>44356</v>
      </c>
      <c r="C158" s="1" t="n">
        <v>45676</v>
      </c>
      <c r="D158" t="inlineStr">
        <is>
          <t>VÄSTRA GÖTALANDS LÄN</t>
        </is>
      </c>
      <c r="E158" t="inlineStr">
        <is>
          <t>MUNKEDAL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28754-2021</t>
        </is>
      </c>
      <c r="B159" s="1" t="n">
        <v>44357</v>
      </c>
      <c r="C159" s="1" t="n">
        <v>45676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28758-2021</t>
        </is>
      </c>
      <c r="B160" s="1" t="n">
        <v>44357</v>
      </c>
      <c r="C160" s="1" t="n">
        <v>45676</v>
      </c>
      <c r="D160" t="inlineStr">
        <is>
          <t>VÄSTRA GÖTALANDS LÄN</t>
        </is>
      </c>
      <c r="E160" t="inlineStr">
        <is>
          <t>MUNKEDAL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29086-2021</t>
        </is>
      </c>
      <c r="B161" s="1" t="n">
        <v>44358</v>
      </c>
      <c r="C161" s="1" t="n">
        <v>45676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29087-2021</t>
        </is>
      </c>
      <c r="B162" s="1" t="n">
        <v>44358</v>
      </c>
      <c r="C162" s="1" t="n">
        <v>45676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29078-2021</t>
        </is>
      </c>
      <c r="B163" s="1" t="n">
        <v>44358</v>
      </c>
      <c r="C163" s="1" t="n">
        <v>45676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29502-2021</t>
        </is>
      </c>
      <c r="B164" s="1" t="n">
        <v>44361</v>
      </c>
      <c r="C164" s="1" t="n">
        <v>45676</v>
      </c>
      <c r="D164" t="inlineStr">
        <is>
          <t>VÄSTRA GÖTALANDS LÄN</t>
        </is>
      </c>
      <c r="E164" t="inlineStr">
        <is>
          <t>MUNKEDAL</t>
        </is>
      </c>
      <c r="G164" t="n">
        <v>25.7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31450-2021</t>
        </is>
      </c>
      <c r="B165" s="1" t="n">
        <v>44369</v>
      </c>
      <c r="C165" s="1" t="n">
        <v>45676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35449-2021</t>
        </is>
      </c>
      <c r="B166" s="1" t="n">
        <v>44385</v>
      </c>
      <c r="C166" s="1" t="n">
        <v>45676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38135-2021</t>
        </is>
      </c>
      <c r="B167" s="1" t="n">
        <v>44404</v>
      </c>
      <c r="C167" s="1" t="n">
        <v>45676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38123-2021</t>
        </is>
      </c>
      <c r="B168" s="1" t="n">
        <v>44404</v>
      </c>
      <c r="C168" s="1" t="n">
        <v>45676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38751-2021</t>
        </is>
      </c>
      <c r="B169" s="1" t="n">
        <v>44410</v>
      </c>
      <c r="C169" s="1" t="n">
        <v>45676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38991-2021</t>
        </is>
      </c>
      <c r="B170" s="1" t="n">
        <v>44411</v>
      </c>
      <c r="C170" s="1" t="n">
        <v>45676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38992-2021</t>
        </is>
      </c>
      <c r="B171" s="1" t="n">
        <v>44411</v>
      </c>
      <c r="C171" s="1" t="n">
        <v>45676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39112-2021</t>
        </is>
      </c>
      <c r="B172" s="1" t="n">
        <v>44412</v>
      </c>
      <c r="C172" s="1" t="n">
        <v>45676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39441-2021</t>
        </is>
      </c>
      <c r="B173" s="1" t="n">
        <v>44414</v>
      </c>
      <c r="C173" s="1" t="n">
        <v>45676</v>
      </c>
      <c r="D173" t="inlineStr">
        <is>
          <t>VÄSTRA GÖTALANDS LÄN</t>
        </is>
      </c>
      <c r="E173" t="inlineStr">
        <is>
          <t>MUNKEDAL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40950-2021</t>
        </is>
      </c>
      <c r="B174" s="1" t="n">
        <v>44421</v>
      </c>
      <c r="C174" s="1" t="n">
        <v>45676</v>
      </c>
      <c r="D174" t="inlineStr">
        <is>
          <t>VÄSTRA GÖTALANDS LÄN</t>
        </is>
      </c>
      <c r="E174" t="inlineStr">
        <is>
          <t>MUNKEDAL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41921-2021</t>
        </is>
      </c>
      <c r="B175" s="1" t="n">
        <v>44426</v>
      </c>
      <c r="C175" s="1" t="n">
        <v>45676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43442-2021</t>
        </is>
      </c>
      <c r="B176" s="1" t="n">
        <v>44432</v>
      </c>
      <c r="C176" s="1" t="n">
        <v>45676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43438-2021</t>
        </is>
      </c>
      <c r="B177" s="1" t="n">
        <v>44432</v>
      </c>
      <c r="C177" s="1" t="n">
        <v>45676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43547-2021</t>
        </is>
      </c>
      <c r="B178" s="1" t="n">
        <v>44432</v>
      </c>
      <c r="C178" s="1" t="n">
        <v>45676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43599-2021</t>
        </is>
      </c>
      <c r="B179" s="1" t="n">
        <v>44433</v>
      </c>
      <c r="C179" s="1" t="n">
        <v>45676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44620-2021</t>
        </is>
      </c>
      <c r="B180" s="1" t="n">
        <v>44436</v>
      </c>
      <c r="C180" s="1" t="n">
        <v>45676</v>
      </c>
      <c r="D180" t="inlineStr">
        <is>
          <t>VÄSTRA GÖTALANDS LÄN</t>
        </is>
      </c>
      <c r="E180" t="inlineStr">
        <is>
          <t>MUNKEDAL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44893-2021</t>
        </is>
      </c>
      <c r="B181" s="1" t="n">
        <v>44438</v>
      </c>
      <c r="C181" s="1" t="n">
        <v>45676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</v>
      </c>
      <c r="C182" s="1" t="n">
        <v>45676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45215-2021</t>
        </is>
      </c>
      <c r="B183" s="1" t="n">
        <v>44439</v>
      </c>
      <c r="C183" s="1" t="n">
        <v>45676</v>
      </c>
      <c r="D183" t="inlineStr">
        <is>
          <t>VÄSTRA GÖTALANDS LÄN</t>
        </is>
      </c>
      <c r="E183" t="inlineStr">
        <is>
          <t>MUNKEDAL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45222-2021</t>
        </is>
      </c>
      <c r="B184" s="1" t="n">
        <v>44439</v>
      </c>
      <c r="C184" s="1" t="n">
        <v>45676</v>
      </c>
      <c r="D184" t="inlineStr">
        <is>
          <t>VÄSTRA GÖTALANDS LÄN</t>
        </is>
      </c>
      <c r="E184" t="inlineStr">
        <is>
          <t>MUNKEDAL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45150-2021</t>
        </is>
      </c>
      <c r="B185" s="1" t="n">
        <v>44439</v>
      </c>
      <c r="C185" s="1" t="n">
        <v>45676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46068-2021</t>
        </is>
      </c>
      <c r="B186" s="1" t="n">
        <v>44441</v>
      </c>
      <c r="C186" s="1" t="n">
        <v>45676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45676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45676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50336-2021</t>
        </is>
      </c>
      <c r="B189" s="1" t="n">
        <v>44459</v>
      </c>
      <c r="C189" s="1" t="n">
        <v>45676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50650-2021</t>
        </is>
      </c>
      <c r="B190" s="1" t="n">
        <v>44459</v>
      </c>
      <c r="C190" s="1" t="n">
        <v>45676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53839-2021</t>
        </is>
      </c>
      <c r="B191" s="1" t="n">
        <v>44467</v>
      </c>
      <c r="C191" s="1" t="n">
        <v>45676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54349-2021</t>
        </is>
      </c>
      <c r="B192" s="1" t="n">
        <v>44473</v>
      </c>
      <c r="C192" s="1" t="n">
        <v>45676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54353-2021</t>
        </is>
      </c>
      <c r="B193" s="1" t="n">
        <v>44473</v>
      </c>
      <c r="C193" s="1" t="n">
        <v>45676</v>
      </c>
      <c r="D193" t="inlineStr">
        <is>
          <t>VÄSTRA GÖTALANDS LÄN</t>
        </is>
      </c>
      <c r="E193" t="inlineStr">
        <is>
          <t>MUNKEDAL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56789-2021</t>
        </is>
      </c>
      <c r="B194" s="1" t="n">
        <v>44481</v>
      </c>
      <c r="C194" s="1" t="n">
        <v>45676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58066-2021</t>
        </is>
      </c>
      <c r="B195" s="1" t="n">
        <v>44487</v>
      </c>
      <c r="C195" s="1" t="n">
        <v>45676</v>
      </c>
      <c r="D195" t="inlineStr">
        <is>
          <t>VÄSTRA GÖTALANDS LÄN</t>
        </is>
      </c>
      <c r="E195" t="inlineStr">
        <is>
          <t>MUNKEDAL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60859-2021</t>
        </is>
      </c>
      <c r="B196" s="1" t="n">
        <v>44497</v>
      </c>
      <c r="C196" s="1" t="n">
        <v>45676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60863-2021</t>
        </is>
      </c>
      <c r="B197" s="1" t="n">
        <v>44497</v>
      </c>
      <c r="C197" s="1" t="n">
        <v>45676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</v>
      </c>
      <c r="C198" s="1" t="n">
        <v>45676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63901-2021</t>
        </is>
      </c>
      <c r="B199" s="1" t="n">
        <v>44509</v>
      </c>
      <c r="C199" s="1" t="n">
        <v>45676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64731-2021</t>
        </is>
      </c>
      <c r="B200" s="1" t="n">
        <v>44512</v>
      </c>
      <c r="C200" s="1" t="n">
        <v>45676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65327-2021</t>
        </is>
      </c>
      <c r="B201" s="1" t="n">
        <v>44515</v>
      </c>
      <c r="C201" s="1" t="n">
        <v>45676</v>
      </c>
      <c r="D201" t="inlineStr">
        <is>
          <t>VÄSTRA GÖTALANDS LÄN</t>
        </is>
      </c>
      <c r="E201" t="inlineStr">
        <is>
          <t>MUNKEDAL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67233-2021</t>
        </is>
      </c>
      <c r="B202" s="1" t="n">
        <v>44523</v>
      </c>
      <c r="C202" s="1" t="n">
        <v>45676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68218-2021</t>
        </is>
      </c>
      <c r="B203" s="1" t="n">
        <v>44525</v>
      </c>
      <c r="C203" s="1" t="n">
        <v>45676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45676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68333-2021</t>
        </is>
      </c>
      <c r="B205" s="1" t="n">
        <v>44527</v>
      </c>
      <c r="C205" s="1" t="n">
        <v>45676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68596-2021</t>
        </is>
      </c>
      <c r="B206" s="1" t="n">
        <v>44529</v>
      </c>
      <c r="C206" s="1" t="n">
        <v>45676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73977-2021</t>
        </is>
      </c>
      <c r="B207" s="1" t="n">
        <v>44554</v>
      </c>
      <c r="C207" s="1" t="n">
        <v>45676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186-2022</t>
        </is>
      </c>
      <c r="B208" s="1" t="n">
        <v>44563</v>
      </c>
      <c r="C208" s="1" t="n">
        <v>45676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1523-2022</t>
        </is>
      </c>
      <c r="B209" s="1" t="n">
        <v>44573</v>
      </c>
      <c r="C209" s="1" t="n">
        <v>45676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1545-2022</t>
        </is>
      </c>
      <c r="B210" s="1" t="n">
        <v>44573</v>
      </c>
      <c r="C210" s="1" t="n">
        <v>45676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1808-2022</t>
        </is>
      </c>
      <c r="B211" s="1" t="n">
        <v>44574</v>
      </c>
      <c r="C211" s="1" t="n">
        <v>45676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1924-2022</t>
        </is>
      </c>
      <c r="B212" s="1" t="n">
        <v>44575</v>
      </c>
      <c r="C212" s="1" t="n">
        <v>45676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2483-2022</t>
        </is>
      </c>
      <c r="B213" s="1" t="n">
        <v>44579</v>
      </c>
      <c r="C213" s="1" t="n">
        <v>45676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2481-2022</t>
        </is>
      </c>
      <c r="B214" s="1" t="n">
        <v>44579</v>
      </c>
      <c r="C214" s="1" t="n">
        <v>45676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2634-2022</t>
        </is>
      </c>
      <c r="B215" s="1" t="n">
        <v>44580</v>
      </c>
      <c r="C215" s="1" t="n">
        <v>45676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2635-2022</t>
        </is>
      </c>
      <c r="B216" s="1" t="n">
        <v>44580</v>
      </c>
      <c r="C216" s="1" t="n">
        <v>45676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2797-2022</t>
        </is>
      </c>
      <c r="B217" s="1" t="n">
        <v>44581</v>
      </c>
      <c r="C217" s="1" t="n">
        <v>45676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</v>
      </c>
      <c r="C218" s="1" t="n">
        <v>45676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4276-2022</t>
        </is>
      </c>
      <c r="B219" s="1" t="n">
        <v>44588</v>
      </c>
      <c r="C219" s="1" t="n">
        <v>45676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4252-2022</t>
        </is>
      </c>
      <c r="B220" s="1" t="n">
        <v>44588</v>
      </c>
      <c r="C220" s="1" t="n">
        <v>45676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4875-2022</t>
        </is>
      </c>
      <c r="B221" s="1" t="n">
        <v>44592</v>
      </c>
      <c r="C221" s="1" t="n">
        <v>45676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5139-2022</t>
        </is>
      </c>
      <c r="B222" s="1" t="n">
        <v>44593</v>
      </c>
      <c r="C222" s="1" t="n">
        <v>45676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45676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7450-2022</t>
        </is>
      </c>
      <c r="B224" s="1" t="n">
        <v>44606</v>
      </c>
      <c r="C224" s="1" t="n">
        <v>45676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7524-2022</t>
        </is>
      </c>
      <c r="B225" s="1" t="n">
        <v>44607</v>
      </c>
      <c r="C225" s="1" t="n">
        <v>45676</v>
      </c>
      <c r="D225" t="inlineStr">
        <is>
          <t>VÄSTRA GÖTALANDS LÄN</t>
        </is>
      </c>
      <c r="E225" t="inlineStr">
        <is>
          <t>MUNKEDAL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45676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7853-2022</t>
        </is>
      </c>
      <c r="B227" s="1" t="n">
        <v>44608</v>
      </c>
      <c r="C227" s="1" t="n">
        <v>45676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8218-2022</t>
        </is>
      </c>
      <c r="B228" s="1" t="n">
        <v>44609</v>
      </c>
      <c r="C228" s="1" t="n">
        <v>45676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8185-2022</t>
        </is>
      </c>
      <c r="B229" s="1" t="n">
        <v>44609</v>
      </c>
      <c r="C229" s="1" t="n">
        <v>45676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10210-2022</t>
        </is>
      </c>
      <c r="B230" s="1" t="n">
        <v>44622</v>
      </c>
      <c r="C230" s="1" t="n">
        <v>45676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11195-2022</t>
        </is>
      </c>
      <c r="B231" s="1" t="n">
        <v>44629</v>
      </c>
      <c r="C231" s="1" t="n">
        <v>45676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11367-2022</t>
        </is>
      </c>
      <c r="B232" s="1" t="n">
        <v>44630</v>
      </c>
      <c r="C232" s="1" t="n">
        <v>45676</v>
      </c>
      <c r="D232" t="inlineStr">
        <is>
          <t>VÄSTRA GÖTALANDS LÄN</t>
        </is>
      </c>
      <c r="E232" t="inlineStr">
        <is>
          <t>MUNKEDAL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12211-2022</t>
        </is>
      </c>
      <c r="B233" s="1" t="n">
        <v>44636</v>
      </c>
      <c r="C233" s="1" t="n">
        <v>45676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15835-2022</t>
        </is>
      </c>
      <c r="B234" s="1" t="n">
        <v>44664</v>
      </c>
      <c r="C234" s="1" t="n">
        <v>45676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16634-2022</t>
        </is>
      </c>
      <c r="B235" s="1" t="n">
        <v>44672</v>
      </c>
      <c r="C235" s="1" t="n">
        <v>45676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16621-2022</t>
        </is>
      </c>
      <c r="B236" s="1" t="n">
        <v>44672</v>
      </c>
      <c r="C236" s="1" t="n">
        <v>45676</v>
      </c>
      <c r="D236" t="inlineStr">
        <is>
          <t>VÄSTRA GÖTALANDS LÄN</t>
        </is>
      </c>
      <c r="E236" t="inlineStr">
        <is>
          <t>MUNKEDAL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16631-2022</t>
        </is>
      </c>
      <c r="B237" s="1" t="n">
        <v>44672</v>
      </c>
      <c r="C237" s="1" t="n">
        <v>45676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16638-2022</t>
        </is>
      </c>
      <c r="B238" s="1" t="n">
        <v>44672</v>
      </c>
      <c r="C238" s="1" t="n">
        <v>45676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17338-2022</t>
        </is>
      </c>
      <c r="B239" s="1" t="n">
        <v>44678</v>
      </c>
      <c r="C239" s="1" t="n">
        <v>45676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17967-2022</t>
        </is>
      </c>
      <c r="B240" s="1" t="n">
        <v>44683</v>
      </c>
      <c r="C240" s="1" t="n">
        <v>45676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17972-2022</t>
        </is>
      </c>
      <c r="B241" s="1" t="n">
        <v>44683</v>
      </c>
      <c r="C241" s="1" t="n">
        <v>45676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17971-2022</t>
        </is>
      </c>
      <c r="B242" s="1" t="n">
        <v>44683</v>
      </c>
      <c r="C242" s="1" t="n">
        <v>45676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18456-2022</t>
        </is>
      </c>
      <c r="B243" s="1" t="n">
        <v>44686</v>
      </c>
      <c r="C243" s="1" t="n">
        <v>45676</v>
      </c>
      <c r="D243" t="inlineStr">
        <is>
          <t>VÄSTRA GÖTALANDS LÄN</t>
        </is>
      </c>
      <c r="E243" t="inlineStr">
        <is>
          <t>MUNKEDAL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18965-2022</t>
        </is>
      </c>
      <c r="B244" s="1" t="n">
        <v>44690</v>
      </c>
      <c r="C244" s="1" t="n">
        <v>45676</v>
      </c>
      <c r="D244" t="inlineStr">
        <is>
          <t>VÄSTRA GÖTALANDS LÄN</t>
        </is>
      </c>
      <c r="E244" t="inlineStr">
        <is>
          <t>MUNKEDAL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19120-2022</t>
        </is>
      </c>
      <c r="B245" s="1" t="n">
        <v>44691</v>
      </c>
      <c r="C245" s="1" t="n">
        <v>45676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19188-2022</t>
        </is>
      </c>
      <c r="B246" s="1" t="n">
        <v>44691</v>
      </c>
      <c r="C246" s="1" t="n">
        <v>45676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19631-2022</t>
        </is>
      </c>
      <c r="B247" s="1" t="n">
        <v>44694</v>
      </c>
      <c r="C247" s="1" t="n">
        <v>45676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19887-2022</t>
        </is>
      </c>
      <c r="B248" s="1" t="n">
        <v>44697</v>
      </c>
      <c r="C248" s="1" t="n">
        <v>45676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45676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45676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20320-2022</t>
        </is>
      </c>
      <c r="B251" s="1" t="n">
        <v>44699</v>
      </c>
      <c r="C251" s="1" t="n">
        <v>45676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21129-2022</t>
        </is>
      </c>
      <c r="B252" s="1" t="n">
        <v>44704</v>
      </c>
      <c r="C252" s="1" t="n">
        <v>45676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21125-2022</t>
        </is>
      </c>
      <c r="B253" s="1" t="n">
        <v>44704</v>
      </c>
      <c r="C253" s="1" t="n">
        <v>45676</v>
      </c>
      <c r="D253" t="inlineStr">
        <is>
          <t>VÄSTRA GÖTALANDS LÄN</t>
        </is>
      </c>
      <c r="E253" t="inlineStr">
        <is>
          <t>MUNKEDAL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45676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25543-2022</t>
        </is>
      </c>
      <c r="B255" s="1" t="n">
        <v>44732</v>
      </c>
      <c r="C255" s="1" t="n">
        <v>45676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26251-2022</t>
        </is>
      </c>
      <c r="B256" s="1" t="n">
        <v>44734</v>
      </c>
      <c r="C256" s="1" t="n">
        <v>45676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26632-2022</t>
        </is>
      </c>
      <c r="B257" s="1" t="n">
        <v>44739</v>
      </c>
      <c r="C257" s="1" t="n">
        <v>45676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28393-2022</t>
        </is>
      </c>
      <c r="B258" s="1" t="n">
        <v>44747</v>
      </c>
      <c r="C258" s="1" t="n">
        <v>45676</v>
      </c>
      <c r="D258" t="inlineStr">
        <is>
          <t>VÄSTRA GÖTALANDS LÄN</t>
        </is>
      </c>
      <c r="E258" t="inlineStr">
        <is>
          <t>MUNKEDAL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28665-2022</t>
        </is>
      </c>
      <c r="B259" s="1" t="n">
        <v>44748</v>
      </c>
      <c r="C259" s="1" t="n">
        <v>45676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45676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28995-2022</t>
        </is>
      </c>
      <c r="B261" s="1" t="n">
        <v>44749</v>
      </c>
      <c r="C261" s="1" t="n">
        <v>45676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29707-2022</t>
        </is>
      </c>
      <c r="B262" s="1" t="n">
        <v>44755</v>
      </c>
      <c r="C262" s="1" t="n">
        <v>45676</v>
      </c>
      <c r="D262" t="inlineStr">
        <is>
          <t>VÄSTRA GÖTALANDS LÄN</t>
        </is>
      </c>
      <c r="E262" t="inlineStr">
        <is>
          <t>MUNKEDAL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45676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31350-2022</t>
        </is>
      </c>
      <c r="B264" s="1" t="n">
        <v>44774</v>
      </c>
      <c r="C264" s="1" t="n">
        <v>45676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34766-2022</t>
        </is>
      </c>
      <c r="B265" s="1" t="n">
        <v>44795</v>
      </c>
      <c r="C265" s="1" t="n">
        <v>45676</v>
      </c>
      <c r="D265" t="inlineStr">
        <is>
          <t>VÄSTRA GÖTALANDS LÄN</t>
        </is>
      </c>
      <c r="E265" t="inlineStr">
        <is>
          <t>MUNKEDAL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37327-2022</t>
        </is>
      </c>
      <c r="B266" s="1" t="n">
        <v>44806</v>
      </c>
      <c r="C266" s="1" t="n">
        <v>45676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37330-2022</t>
        </is>
      </c>
      <c r="B267" s="1" t="n">
        <v>44806</v>
      </c>
      <c r="C267" s="1" t="n">
        <v>45676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38164-2022</t>
        </is>
      </c>
      <c r="B268" s="1" t="n">
        <v>44812</v>
      </c>
      <c r="C268" s="1" t="n">
        <v>45676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39484-2022</t>
        </is>
      </c>
      <c r="B269" s="1" t="n">
        <v>44817</v>
      </c>
      <c r="C269" s="1" t="n">
        <v>45676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40185-2022</t>
        </is>
      </c>
      <c r="B270" s="1" t="n">
        <v>44818</v>
      </c>
      <c r="C270" s="1" t="n">
        <v>45676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40232-2022</t>
        </is>
      </c>
      <c r="B271" s="1" t="n">
        <v>44820</v>
      </c>
      <c r="C271" s="1" t="n">
        <v>45676</v>
      </c>
      <c r="D271" t="inlineStr">
        <is>
          <t>VÄSTRA GÖTALANDS LÄN</t>
        </is>
      </c>
      <c r="E271" t="inlineStr">
        <is>
          <t>MUNKEDAL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40228-2022</t>
        </is>
      </c>
      <c r="B272" s="1" t="n">
        <v>44820</v>
      </c>
      <c r="C272" s="1" t="n">
        <v>45676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40940-2022</t>
        </is>
      </c>
      <c r="B273" s="1" t="n">
        <v>44823</v>
      </c>
      <c r="C273" s="1" t="n">
        <v>45676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40976-2022</t>
        </is>
      </c>
      <c r="B274" s="1" t="n">
        <v>44825</v>
      </c>
      <c r="C274" s="1" t="n">
        <v>45676</v>
      </c>
      <c r="D274" t="inlineStr">
        <is>
          <t>VÄSTRA GÖTALANDS LÄN</t>
        </is>
      </c>
      <c r="E274" t="inlineStr">
        <is>
          <t>MUNKEDAL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41615-2022</t>
        </is>
      </c>
      <c r="B275" s="1" t="n">
        <v>44827</v>
      </c>
      <c r="C275" s="1" t="n">
        <v>45676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42585-2022</t>
        </is>
      </c>
      <c r="B276" s="1" t="n">
        <v>44831</v>
      </c>
      <c r="C276" s="1" t="n">
        <v>45676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43360-2022</t>
        </is>
      </c>
      <c r="B277" s="1" t="n">
        <v>44834</v>
      </c>
      <c r="C277" s="1" t="n">
        <v>45676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44886-2022</t>
        </is>
      </c>
      <c r="B278" s="1" t="n">
        <v>44839</v>
      </c>
      <c r="C278" s="1" t="n">
        <v>45676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49218-2022</t>
        </is>
      </c>
      <c r="B279" s="1" t="n">
        <v>44861</v>
      </c>
      <c r="C279" s="1" t="n">
        <v>45676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51411-2022</t>
        </is>
      </c>
      <c r="B280" s="1" t="n">
        <v>44866</v>
      </c>
      <c r="C280" s="1" t="n">
        <v>45676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51401-2022</t>
        </is>
      </c>
      <c r="B281" s="1" t="n">
        <v>44866</v>
      </c>
      <c r="C281" s="1" t="n">
        <v>45676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51407-2022</t>
        </is>
      </c>
      <c r="B282" s="1" t="n">
        <v>44866</v>
      </c>
      <c r="C282" s="1" t="n">
        <v>45676</v>
      </c>
      <c r="D282" t="inlineStr">
        <is>
          <t>VÄSTRA GÖTALANDS LÄN</t>
        </is>
      </c>
      <c r="E282" t="inlineStr">
        <is>
          <t>MUNKEDAL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51423-2022</t>
        </is>
      </c>
      <c r="B283" s="1" t="n">
        <v>44866</v>
      </c>
      <c r="C283" s="1" t="n">
        <v>45676</v>
      </c>
      <c r="D283" t="inlineStr">
        <is>
          <t>VÄSTRA GÖTALANDS LÄN</t>
        </is>
      </c>
      <c r="E283" t="inlineStr">
        <is>
          <t>MUNKEDAL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51404-2022</t>
        </is>
      </c>
      <c r="B284" s="1" t="n">
        <v>44866</v>
      </c>
      <c r="C284" s="1" t="n">
        <v>45676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51421-2022</t>
        </is>
      </c>
      <c r="B285" s="1" t="n">
        <v>44866</v>
      </c>
      <c r="C285" s="1" t="n">
        <v>45676</v>
      </c>
      <c r="D285" t="inlineStr">
        <is>
          <t>VÄSTRA GÖTALANDS LÄN</t>
        </is>
      </c>
      <c r="E285" t="inlineStr">
        <is>
          <t>MUNKEDAL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51409-2022</t>
        </is>
      </c>
      <c r="B286" s="1" t="n">
        <v>44866</v>
      </c>
      <c r="C286" s="1" t="n">
        <v>45676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51431-2022</t>
        </is>
      </c>
      <c r="B287" s="1" t="n">
        <v>44866</v>
      </c>
      <c r="C287" s="1" t="n">
        <v>45676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52302-2022</t>
        </is>
      </c>
      <c r="B288" s="1" t="n">
        <v>44873</v>
      </c>
      <c r="C288" s="1" t="n">
        <v>45676</v>
      </c>
      <c r="D288" t="inlineStr">
        <is>
          <t>VÄSTRA GÖTALANDS LÄN</t>
        </is>
      </c>
      <c r="E288" t="inlineStr">
        <is>
          <t>MUNKEDAL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55604-2022</t>
        </is>
      </c>
      <c r="B289" s="1" t="n">
        <v>44888</v>
      </c>
      <c r="C289" s="1" t="n">
        <v>45676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56037-2022</t>
        </is>
      </c>
      <c r="B290" s="1" t="n">
        <v>44889</v>
      </c>
      <c r="C290" s="1" t="n">
        <v>45676</v>
      </c>
      <c r="D290" t="inlineStr">
        <is>
          <t>VÄSTRA GÖTALANDS LÄN</t>
        </is>
      </c>
      <c r="E290" t="inlineStr">
        <is>
          <t>MUNKEDAL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</v>
      </c>
      <c r="C291" s="1" t="n">
        <v>45676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57327-2022</t>
        </is>
      </c>
      <c r="B292" s="1" t="n">
        <v>44896</v>
      </c>
      <c r="C292" s="1" t="n">
        <v>45676</v>
      </c>
      <c r="D292" t="inlineStr">
        <is>
          <t>VÄSTRA GÖTALANDS LÄN</t>
        </is>
      </c>
      <c r="E292" t="inlineStr">
        <is>
          <t>MUNKEDAL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57404-2022</t>
        </is>
      </c>
      <c r="B293" s="1" t="n">
        <v>44896</v>
      </c>
      <c r="C293" s="1" t="n">
        <v>45676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57412-2022</t>
        </is>
      </c>
      <c r="B294" s="1" t="n">
        <v>44896</v>
      </c>
      <c r="C294" s="1" t="n">
        <v>45676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45676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59150-2022</t>
        </is>
      </c>
      <c r="B296" s="1" t="n">
        <v>44897</v>
      </c>
      <c r="C296" s="1" t="n">
        <v>45676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45676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58270-2022</t>
        </is>
      </c>
      <c r="B298" s="1" t="n">
        <v>44901</v>
      </c>
      <c r="C298" s="1" t="n">
        <v>45676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58887-2022</t>
        </is>
      </c>
      <c r="B299" s="1" t="n">
        <v>44903</v>
      </c>
      <c r="C299" s="1" t="n">
        <v>45676</v>
      </c>
      <c r="D299" t="inlineStr">
        <is>
          <t>VÄSTRA GÖTALANDS LÄN</t>
        </is>
      </c>
      <c r="E299" t="inlineStr">
        <is>
          <t>MUNKEDAL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58888-2022</t>
        </is>
      </c>
      <c r="B300" s="1" t="n">
        <v>44903</v>
      </c>
      <c r="C300" s="1" t="n">
        <v>45676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59132-2022</t>
        </is>
      </c>
      <c r="B301" s="1" t="n">
        <v>44904</v>
      </c>
      <c r="C301" s="1" t="n">
        <v>45676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</v>
      </c>
      <c r="C302" s="1" t="n">
        <v>45676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62100-2022</t>
        </is>
      </c>
      <c r="B303" s="1" t="n">
        <v>44920</v>
      </c>
      <c r="C303" s="1" t="n">
        <v>45676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62099-2022</t>
        </is>
      </c>
      <c r="B304" s="1" t="n">
        <v>44920</v>
      </c>
      <c r="C304" s="1" t="n">
        <v>45676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62101-2022</t>
        </is>
      </c>
      <c r="B305" s="1" t="n">
        <v>44920</v>
      </c>
      <c r="C305" s="1" t="n">
        <v>45676</v>
      </c>
      <c r="D305" t="inlineStr">
        <is>
          <t>VÄSTRA GÖTALANDS LÄN</t>
        </is>
      </c>
      <c r="E305" t="inlineStr">
        <is>
          <t>MUNKEDAL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421-2023</t>
        </is>
      </c>
      <c r="B306" s="1" t="n">
        <v>44929</v>
      </c>
      <c r="C306" s="1" t="n">
        <v>45676</v>
      </c>
      <c r="D306" t="inlineStr">
        <is>
          <t>VÄSTRA GÖTALANDS LÄN</t>
        </is>
      </c>
      <c r="E306" t="inlineStr">
        <is>
          <t>MUNKEDAL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868-2023</t>
        </is>
      </c>
      <c r="B307" s="1" t="n">
        <v>44931</v>
      </c>
      <c r="C307" s="1" t="n">
        <v>45676</v>
      </c>
      <c r="D307" t="inlineStr">
        <is>
          <t>VÄSTRA GÖTALANDS LÄN</t>
        </is>
      </c>
      <c r="E307" t="inlineStr">
        <is>
          <t>MUNKEDAL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1526-2023</t>
        </is>
      </c>
      <c r="B308" s="1" t="n">
        <v>44935</v>
      </c>
      <c r="C308" s="1" t="n">
        <v>45676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1340-2023</t>
        </is>
      </c>
      <c r="B309" s="1" t="n">
        <v>44936</v>
      </c>
      <c r="C309" s="1" t="n">
        <v>45676</v>
      </c>
      <c r="D309" t="inlineStr">
        <is>
          <t>VÄSTRA GÖTALANDS LÄN</t>
        </is>
      </c>
      <c r="E309" t="inlineStr">
        <is>
          <t>MUNKEDAL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1559-2023</t>
        </is>
      </c>
      <c r="B310" s="1" t="n">
        <v>44937</v>
      </c>
      <c r="C310" s="1" t="n">
        <v>45676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1938-2023</t>
        </is>
      </c>
      <c r="B311" s="1" t="n">
        <v>44938</v>
      </c>
      <c r="C311" s="1" t="n">
        <v>45676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3288-2023</t>
        </is>
      </c>
      <c r="B312" s="1" t="n">
        <v>44945</v>
      </c>
      <c r="C312" s="1" t="n">
        <v>45676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3611-2023</t>
        </is>
      </c>
      <c r="B313" s="1" t="n">
        <v>44946</v>
      </c>
      <c r="C313" s="1" t="n">
        <v>45676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5866-2023</t>
        </is>
      </c>
      <c r="B314" s="1" t="n">
        <v>44958</v>
      </c>
      <c r="C314" s="1" t="n">
        <v>45676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5600-2023</t>
        </is>
      </c>
      <c r="B315" s="1" t="n">
        <v>44960</v>
      </c>
      <c r="C315" s="1" t="n">
        <v>45676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6197-2023</t>
        </is>
      </c>
      <c r="B316" s="1" t="n">
        <v>44964</v>
      </c>
      <c r="C316" s="1" t="n">
        <v>45676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8750-2023</t>
        </is>
      </c>
      <c r="B317" s="1" t="n">
        <v>44972</v>
      </c>
      <c r="C317" s="1" t="n">
        <v>45676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9959-2023</t>
        </is>
      </c>
      <c r="B318" s="1" t="n">
        <v>44978</v>
      </c>
      <c r="C318" s="1" t="n">
        <v>45676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9954-2023</t>
        </is>
      </c>
      <c r="B319" s="1" t="n">
        <v>44978</v>
      </c>
      <c r="C319" s="1" t="n">
        <v>45676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9944-2023</t>
        </is>
      </c>
      <c r="B320" s="1" t="n">
        <v>44978</v>
      </c>
      <c r="C320" s="1" t="n">
        <v>45676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9307-2023</t>
        </is>
      </c>
      <c r="B321" s="1" t="n">
        <v>44980</v>
      </c>
      <c r="C321" s="1" t="n">
        <v>45676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9743-2023</t>
        </is>
      </c>
      <c r="B322" s="1" t="n">
        <v>44984</v>
      </c>
      <c r="C322" s="1" t="n">
        <v>45676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9748-2023</t>
        </is>
      </c>
      <c r="B323" s="1" t="n">
        <v>44984</v>
      </c>
      <c r="C323" s="1" t="n">
        <v>45676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45676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9739-2023</t>
        </is>
      </c>
      <c r="B325" s="1" t="n">
        <v>44984</v>
      </c>
      <c r="C325" s="1" t="n">
        <v>45676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11525-2023</t>
        </is>
      </c>
      <c r="B326" s="1" t="n">
        <v>44993</v>
      </c>
      <c r="C326" s="1" t="n">
        <v>45676</v>
      </c>
      <c r="D326" t="inlineStr">
        <is>
          <t>VÄSTRA GÖTALANDS LÄN</t>
        </is>
      </c>
      <c r="E326" t="inlineStr">
        <is>
          <t>MUNKEDAL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11526-2023</t>
        </is>
      </c>
      <c r="B327" s="1" t="n">
        <v>44993</v>
      </c>
      <c r="C327" s="1" t="n">
        <v>45676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13162-2023</t>
        </is>
      </c>
      <c r="B328" s="1" t="n">
        <v>45002</v>
      </c>
      <c r="C328" s="1" t="n">
        <v>45676</v>
      </c>
      <c r="D328" t="inlineStr">
        <is>
          <t>VÄSTRA GÖTALANDS LÄN</t>
        </is>
      </c>
      <c r="E328" t="inlineStr">
        <is>
          <t>MUNKEDAL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13126-2023</t>
        </is>
      </c>
      <c r="B329" s="1" t="n">
        <v>45002</v>
      </c>
      <c r="C329" s="1" t="n">
        <v>45676</v>
      </c>
      <c r="D329" t="inlineStr">
        <is>
          <t>VÄSTRA GÖTALANDS LÄN</t>
        </is>
      </c>
      <c r="E329" t="inlineStr">
        <is>
          <t>MUNKEDAL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13223-2023</t>
        </is>
      </c>
      <c r="B330" s="1" t="n">
        <v>45002</v>
      </c>
      <c r="C330" s="1" t="n">
        <v>45676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13303-2023</t>
        </is>
      </c>
      <c r="B331" s="1" t="n">
        <v>45005</v>
      </c>
      <c r="C331" s="1" t="n">
        <v>45676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15726-2023</t>
        </is>
      </c>
      <c r="B332" s="1" t="n">
        <v>45021</v>
      </c>
      <c r="C332" s="1" t="n">
        <v>45676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15848-2023</t>
        </is>
      </c>
      <c r="B333" s="1" t="n">
        <v>45022</v>
      </c>
      <c r="C333" s="1" t="n">
        <v>45676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</v>
      </c>
      <c r="C334" s="1" t="n">
        <v>45676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16291-2023</t>
        </is>
      </c>
      <c r="B335" s="1" t="n">
        <v>45028</v>
      </c>
      <c r="C335" s="1" t="n">
        <v>45676</v>
      </c>
      <c r="D335" t="inlineStr">
        <is>
          <t>VÄSTRA GÖTALANDS LÄN</t>
        </is>
      </c>
      <c r="E335" t="inlineStr">
        <is>
          <t>MUNKEDAL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16420-2023</t>
        </is>
      </c>
      <c r="B336" s="1" t="n">
        <v>45029</v>
      </c>
      <c r="C336" s="1" t="n">
        <v>45676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16417-2023</t>
        </is>
      </c>
      <c r="B337" s="1" t="n">
        <v>45029</v>
      </c>
      <c r="C337" s="1" t="n">
        <v>45676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17141-2023</t>
        </is>
      </c>
      <c r="B338" s="1" t="n">
        <v>45034</v>
      </c>
      <c r="C338" s="1" t="n">
        <v>45676</v>
      </c>
      <c r="D338" t="inlineStr">
        <is>
          <t>VÄSTRA GÖTALANDS LÄN</t>
        </is>
      </c>
      <c r="E338" t="inlineStr">
        <is>
          <t>MUNKEDAL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18211-2023</t>
        </is>
      </c>
      <c r="B339" s="1" t="n">
        <v>45041</v>
      </c>
      <c r="C339" s="1" t="n">
        <v>45676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18426-2023</t>
        </is>
      </c>
      <c r="B340" s="1" t="n">
        <v>45041</v>
      </c>
      <c r="C340" s="1" t="n">
        <v>45676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19163-2023</t>
        </is>
      </c>
      <c r="B341" s="1" t="n">
        <v>45044</v>
      </c>
      <c r="C341" s="1" t="n">
        <v>45676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19039-2023</t>
        </is>
      </c>
      <c r="B342" s="1" t="n">
        <v>45047</v>
      </c>
      <c r="C342" s="1" t="n">
        <v>45676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19361-2023</t>
        </is>
      </c>
      <c r="B343" s="1" t="n">
        <v>45049</v>
      </c>
      <c r="C343" s="1" t="n">
        <v>45676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45676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20045-2023</t>
        </is>
      </c>
      <c r="B345" s="1" t="n">
        <v>45051</v>
      </c>
      <c r="C345" s="1" t="n">
        <v>45676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20220-2023</t>
        </is>
      </c>
      <c r="B346" s="1" t="n">
        <v>45055</v>
      </c>
      <c r="C346" s="1" t="n">
        <v>45676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20958-2023</t>
        </is>
      </c>
      <c r="B347" s="1" t="n">
        <v>45061</v>
      </c>
      <c r="C347" s="1" t="n">
        <v>45676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21540-2023</t>
        </is>
      </c>
      <c r="B348" s="1" t="n">
        <v>45061</v>
      </c>
      <c r="C348" s="1" t="n">
        <v>45676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</v>
      </c>
      <c r="C349" s="1" t="n">
        <v>45676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</v>
      </c>
      <c r="C350" s="1" t="n">
        <v>45676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22537-2023</t>
        </is>
      </c>
      <c r="B351" s="1" t="n">
        <v>45071</v>
      </c>
      <c r="C351" s="1" t="n">
        <v>45676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45676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22534-2023</t>
        </is>
      </c>
      <c r="B353" s="1" t="n">
        <v>45071</v>
      </c>
      <c r="C353" s="1" t="n">
        <v>45676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23605-2023</t>
        </is>
      </c>
      <c r="B354" s="1" t="n">
        <v>45072</v>
      </c>
      <c r="C354" s="1" t="n">
        <v>45676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23598-2023</t>
        </is>
      </c>
      <c r="B355" s="1" t="n">
        <v>45072</v>
      </c>
      <c r="C355" s="1" t="n">
        <v>45676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23610-2023</t>
        </is>
      </c>
      <c r="B356" s="1" t="n">
        <v>45072</v>
      </c>
      <c r="C356" s="1" t="n">
        <v>45676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23188-2023</t>
        </is>
      </c>
      <c r="B357" s="1" t="n">
        <v>45075</v>
      </c>
      <c r="C357" s="1" t="n">
        <v>45676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23397-2023</t>
        </is>
      </c>
      <c r="B358" s="1" t="n">
        <v>45076</v>
      </c>
      <c r="C358" s="1" t="n">
        <v>45676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24150-2023</t>
        </is>
      </c>
      <c r="B359" s="1" t="n">
        <v>45076</v>
      </c>
      <c r="C359" s="1" t="n">
        <v>45676</v>
      </c>
      <c r="D359" t="inlineStr">
        <is>
          <t>VÄSTRA GÖTALANDS LÄN</t>
        </is>
      </c>
      <c r="E359" t="inlineStr">
        <is>
          <t>MUNKEDAL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45676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24809-2023</t>
        </is>
      </c>
      <c r="B361" s="1" t="n">
        <v>45084</v>
      </c>
      <c r="C361" s="1" t="n">
        <v>45676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24812-2023</t>
        </is>
      </c>
      <c r="B362" s="1" t="n">
        <v>45084</v>
      </c>
      <c r="C362" s="1" t="n">
        <v>45676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45676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27644-2023</t>
        </is>
      </c>
      <c r="B364" s="1" t="n">
        <v>45097</v>
      </c>
      <c r="C364" s="1" t="n">
        <v>45676</v>
      </c>
      <c r="D364" t="inlineStr">
        <is>
          <t>VÄSTRA GÖTALANDS LÄN</t>
        </is>
      </c>
      <c r="E364" t="inlineStr">
        <is>
          <t>MUNKEDAL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27890-2023</t>
        </is>
      </c>
      <c r="B365" s="1" t="n">
        <v>45098</v>
      </c>
      <c r="C365" s="1" t="n">
        <v>45676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29415-2023</t>
        </is>
      </c>
      <c r="B366" s="1" t="n">
        <v>45106</v>
      </c>
      <c r="C366" s="1" t="n">
        <v>45676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29603-2023</t>
        </is>
      </c>
      <c r="B367" s="1" t="n">
        <v>45107</v>
      </c>
      <c r="C367" s="1" t="n">
        <v>45676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30456-2023</t>
        </is>
      </c>
      <c r="B368" s="1" t="n">
        <v>45111</v>
      </c>
      <c r="C368" s="1" t="n">
        <v>45676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30434-2023</t>
        </is>
      </c>
      <c r="B369" s="1" t="n">
        <v>45111</v>
      </c>
      <c r="C369" s="1" t="n">
        <v>45676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</v>
      </c>
      <c r="C370" s="1" t="n">
        <v>45676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30417-2023</t>
        </is>
      </c>
      <c r="B371" s="1" t="n">
        <v>45111</v>
      </c>
      <c r="C371" s="1" t="n">
        <v>45676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30427-2023</t>
        </is>
      </c>
      <c r="B372" s="1" t="n">
        <v>45111</v>
      </c>
      <c r="C372" s="1" t="n">
        <v>45676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30447-2023</t>
        </is>
      </c>
      <c r="B373" s="1" t="n">
        <v>45111</v>
      </c>
      <c r="C373" s="1" t="n">
        <v>45676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</v>
      </c>
      <c r="C374" s="1" t="n">
        <v>45676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32300-2023</t>
        </is>
      </c>
      <c r="B375" s="1" t="n">
        <v>45120</v>
      </c>
      <c r="C375" s="1" t="n">
        <v>45676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45676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33196-2023</t>
        </is>
      </c>
      <c r="B377" s="1" t="n">
        <v>45127</v>
      </c>
      <c r="C377" s="1" t="n">
        <v>45676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33181-2023</t>
        </is>
      </c>
      <c r="B378" s="1" t="n">
        <v>45127</v>
      </c>
      <c r="C378" s="1" t="n">
        <v>45676</v>
      </c>
      <c r="D378" t="inlineStr">
        <is>
          <t>VÄSTRA GÖTALANDS LÄN</t>
        </is>
      </c>
      <c r="E378" t="inlineStr">
        <is>
          <t>MUNKEDAL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45676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33195-2023</t>
        </is>
      </c>
      <c r="B380" s="1" t="n">
        <v>45127</v>
      </c>
      <c r="C380" s="1" t="n">
        <v>45676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33212-2023</t>
        </is>
      </c>
      <c r="B381" s="1" t="n">
        <v>45127</v>
      </c>
      <c r="C381" s="1" t="n">
        <v>45676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</v>
      </c>
      <c r="C382" s="1" t="n">
        <v>45676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45676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35137-2023</t>
        </is>
      </c>
      <c r="B384" s="1" t="n">
        <v>45145</v>
      </c>
      <c r="C384" s="1" t="n">
        <v>45676</v>
      </c>
      <c r="D384" t="inlineStr">
        <is>
          <t>VÄSTRA GÖTALANDS LÄN</t>
        </is>
      </c>
      <c r="E384" t="inlineStr">
        <is>
          <t>MUNKEDAL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</v>
      </c>
      <c r="C385" s="1" t="n">
        <v>45676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35645-2023</t>
        </is>
      </c>
      <c r="B386" s="1" t="n">
        <v>45147</v>
      </c>
      <c r="C386" s="1" t="n">
        <v>45676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35647-2023</t>
        </is>
      </c>
      <c r="B387" s="1" t="n">
        <v>45147</v>
      </c>
      <c r="C387" s="1" t="n">
        <v>45676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45676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36173-2023</t>
        </is>
      </c>
      <c r="B389" s="1" t="n">
        <v>45149</v>
      </c>
      <c r="C389" s="1" t="n">
        <v>45676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45676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45676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36891-2023</t>
        </is>
      </c>
      <c r="B392" s="1" t="n">
        <v>45154</v>
      </c>
      <c r="C392" s="1" t="n">
        <v>45676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37071-2023</t>
        </is>
      </c>
      <c r="B393" s="1" t="n">
        <v>45155</v>
      </c>
      <c r="C393" s="1" t="n">
        <v>45676</v>
      </c>
      <c r="D393" t="inlineStr">
        <is>
          <t>VÄSTRA GÖTALANDS LÄN</t>
        </is>
      </c>
      <c r="E393" t="inlineStr">
        <is>
          <t>MUNKEDAL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37419-2023</t>
        </is>
      </c>
      <c r="B394" s="1" t="n">
        <v>45155</v>
      </c>
      <c r="C394" s="1" t="n">
        <v>45676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37414-2023</t>
        </is>
      </c>
      <c r="B395" s="1" t="n">
        <v>45155</v>
      </c>
      <c r="C395" s="1" t="n">
        <v>45676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38071-2023</t>
        </is>
      </c>
      <c r="B396" s="1" t="n">
        <v>45159</v>
      </c>
      <c r="C396" s="1" t="n">
        <v>45676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</v>
      </c>
      <c r="C397" s="1" t="n">
        <v>45676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</v>
      </c>
      <c r="C398" s="1" t="n">
        <v>45676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40617-2023</t>
        </is>
      </c>
      <c r="B399" s="1" t="n">
        <v>45170</v>
      </c>
      <c r="C399" s="1" t="n">
        <v>45676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45676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41521-2023</t>
        </is>
      </c>
      <c r="B401" s="1" t="n">
        <v>45175</v>
      </c>
      <c r="C401" s="1" t="n">
        <v>45676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43876-2023</t>
        </is>
      </c>
      <c r="B402" s="1" t="n">
        <v>45187</v>
      </c>
      <c r="C402" s="1" t="n">
        <v>45676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45464-2023</t>
        </is>
      </c>
      <c r="B403" s="1" t="n">
        <v>45188</v>
      </c>
      <c r="C403" s="1" t="n">
        <v>45676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45472-2023</t>
        </is>
      </c>
      <c r="B404" s="1" t="n">
        <v>45188</v>
      </c>
      <c r="C404" s="1" t="n">
        <v>45676</v>
      </c>
      <c r="D404" t="inlineStr">
        <is>
          <t>VÄSTRA GÖTALANDS LÄN</t>
        </is>
      </c>
      <c r="E404" t="inlineStr">
        <is>
          <t>MUNKEDAL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45469-2023</t>
        </is>
      </c>
      <c r="B405" s="1" t="n">
        <v>45188</v>
      </c>
      <c r="C405" s="1" t="n">
        <v>45676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44478-2023</t>
        </is>
      </c>
      <c r="B406" s="1" t="n">
        <v>45189</v>
      </c>
      <c r="C406" s="1" t="n">
        <v>45676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45676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45638-2023</t>
        </is>
      </c>
      <c r="B408" s="1" t="n">
        <v>45194</v>
      </c>
      <c r="C408" s="1" t="n">
        <v>45676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45632-2023</t>
        </is>
      </c>
      <c r="B409" s="1" t="n">
        <v>45194</v>
      </c>
      <c r="C409" s="1" t="n">
        <v>45676</v>
      </c>
      <c r="D409" t="inlineStr">
        <is>
          <t>VÄSTRA GÖTALANDS LÄN</t>
        </is>
      </c>
      <c r="E409" t="inlineStr">
        <is>
          <t>MUNKEDAL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45637-2023</t>
        </is>
      </c>
      <c r="B410" s="1" t="n">
        <v>45194</v>
      </c>
      <c r="C410" s="1" t="n">
        <v>45676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47675-2023</t>
        </is>
      </c>
      <c r="B411" s="1" t="n">
        <v>45203</v>
      </c>
      <c r="C411" s="1" t="n">
        <v>45676</v>
      </c>
      <c r="D411" t="inlineStr">
        <is>
          <t>VÄSTRA GÖTALANDS LÄN</t>
        </is>
      </c>
      <c r="E411" t="inlineStr">
        <is>
          <t>MUNKEDAL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48031-2023</t>
        </is>
      </c>
      <c r="B412" s="1" t="n">
        <v>45204</v>
      </c>
      <c r="C412" s="1" t="n">
        <v>45676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48831-2023</t>
        </is>
      </c>
      <c r="B413" s="1" t="n">
        <v>45209</v>
      </c>
      <c r="C413" s="1" t="n">
        <v>45676</v>
      </c>
      <c r="D413" t="inlineStr">
        <is>
          <t>VÄSTRA GÖTALANDS LÄN</t>
        </is>
      </c>
      <c r="E413" t="inlineStr">
        <is>
          <t>MUNKEDAL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48833-2023</t>
        </is>
      </c>
      <c r="B414" s="1" t="n">
        <v>45209</v>
      </c>
      <c r="C414" s="1" t="n">
        <v>45676</v>
      </c>
      <c r="D414" t="inlineStr">
        <is>
          <t>VÄSTRA GÖTALANDS LÄN</t>
        </is>
      </c>
      <c r="E414" t="inlineStr">
        <is>
          <t>MUNKEDAL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48838-2023</t>
        </is>
      </c>
      <c r="B415" s="1" t="n">
        <v>45209</v>
      </c>
      <c r="C415" s="1" t="n">
        <v>45676</v>
      </c>
      <c r="D415" t="inlineStr">
        <is>
          <t>VÄSTRA GÖTALANDS LÄN</t>
        </is>
      </c>
      <c r="E415" t="inlineStr">
        <is>
          <t>MUNKEDAL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49912-2023</t>
        </is>
      </c>
      <c r="B416" s="1" t="n">
        <v>45214</v>
      </c>
      <c r="C416" s="1" t="n">
        <v>45676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50034-2023</t>
        </is>
      </c>
      <c r="B417" s="1" t="n">
        <v>45215</v>
      </c>
      <c r="C417" s="1" t="n">
        <v>45676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50038-2023</t>
        </is>
      </c>
      <c r="B418" s="1" t="n">
        <v>45215</v>
      </c>
      <c r="C418" s="1" t="n">
        <v>45676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50414-2023</t>
        </is>
      </c>
      <c r="B419" s="1" t="n">
        <v>45216</v>
      </c>
      <c r="C419" s="1" t="n">
        <v>45676</v>
      </c>
      <c r="D419" t="inlineStr">
        <is>
          <t>VÄSTRA GÖTALANDS LÄN</t>
        </is>
      </c>
      <c r="E419" t="inlineStr">
        <is>
          <t>MUNKEDAL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50917-2023</t>
        </is>
      </c>
      <c r="B420" s="1" t="n">
        <v>45218</v>
      </c>
      <c r="C420" s="1" t="n">
        <v>45676</v>
      </c>
      <c r="D420" t="inlineStr">
        <is>
          <t>VÄSTRA GÖTALANDS LÄN</t>
        </is>
      </c>
      <c r="E420" t="inlineStr">
        <is>
          <t>MUNKEDAL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52510-2023</t>
        </is>
      </c>
      <c r="B421" s="1" t="n">
        <v>45218</v>
      </c>
      <c r="C421" s="1" t="n">
        <v>45676</v>
      </c>
      <c r="D421" t="inlineStr">
        <is>
          <t>VÄSTRA GÖTALANDS LÄN</t>
        </is>
      </c>
      <c r="E421" t="inlineStr">
        <is>
          <t>MUNKEDAL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52054-2023</t>
        </is>
      </c>
      <c r="B422" s="1" t="n">
        <v>45223</v>
      </c>
      <c r="C422" s="1" t="n">
        <v>45676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52152-2023</t>
        </is>
      </c>
      <c r="B423" s="1" t="n">
        <v>45224</v>
      </c>
      <c r="C423" s="1" t="n">
        <v>45676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52151-2023</t>
        </is>
      </c>
      <c r="B424" s="1" t="n">
        <v>45224</v>
      </c>
      <c r="C424" s="1" t="n">
        <v>45676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52153-2023</t>
        </is>
      </c>
      <c r="B425" s="1" t="n">
        <v>45224</v>
      </c>
      <c r="C425" s="1" t="n">
        <v>45676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53412-2023</t>
        </is>
      </c>
      <c r="B426" s="1" t="n">
        <v>45229</v>
      </c>
      <c r="C426" s="1" t="n">
        <v>45676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53424-2023</t>
        </is>
      </c>
      <c r="B427" s="1" t="n">
        <v>45229</v>
      </c>
      <c r="C427" s="1" t="n">
        <v>45676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53410-2023</t>
        </is>
      </c>
      <c r="B428" s="1" t="n">
        <v>45229</v>
      </c>
      <c r="C428" s="1" t="n">
        <v>45676</v>
      </c>
      <c r="D428" t="inlineStr">
        <is>
          <t>VÄSTRA GÖTALANDS LÄN</t>
        </is>
      </c>
      <c r="E428" t="inlineStr">
        <is>
          <t>MUNKEDAL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53409-2023</t>
        </is>
      </c>
      <c r="B429" s="1" t="n">
        <v>45229</v>
      </c>
      <c r="C429" s="1" t="n">
        <v>45676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53425-2023</t>
        </is>
      </c>
      <c r="B430" s="1" t="n">
        <v>45229</v>
      </c>
      <c r="C430" s="1" t="n">
        <v>45676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54930-2023</t>
        </is>
      </c>
      <c r="B431" s="1" t="n">
        <v>45229</v>
      </c>
      <c r="C431" s="1" t="n">
        <v>45676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54935-2023</t>
        </is>
      </c>
      <c r="B432" s="1" t="n">
        <v>45229</v>
      </c>
      <c r="C432" s="1" t="n">
        <v>45676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53565-2023</t>
        </is>
      </c>
      <c r="B433" s="1" t="n">
        <v>45230</v>
      </c>
      <c r="C433" s="1" t="n">
        <v>45676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</v>
      </c>
      <c r="C434" s="1" t="n">
        <v>45676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54001-2023</t>
        </is>
      </c>
      <c r="B435" s="1" t="n">
        <v>45231</v>
      </c>
      <c r="C435" s="1" t="n">
        <v>45676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53888-2023</t>
        </is>
      </c>
      <c r="B436" s="1" t="n">
        <v>45231</v>
      </c>
      <c r="C436" s="1" t="n">
        <v>45676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55498-2023</t>
        </is>
      </c>
      <c r="B437" s="1" t="n">
        <v>45232</v>
      </c>
      <c r="C437" s="1" t="n">
        <v>45676</v>
      </c>
      <c r="D437" t="inlineStr">
        <is>
          <t>VÄSTRA GÖTALANDS LÄN</t>
        </is>
      </c>
      <c r="E437" t="inlineStr">
        <is>
          <t>MUNKEDAL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54518-2023</t>
        </is>
      </c>
      <c r="B438" s="1" t="n">
        <v>45233</v>
      </c>
      <c r="C438" s="1" t="n">
        <v>45676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55301-2023</t>
        </is>
      </c>
      <c r="B439" s="1" t="n">
        <v>45237</v>
      </c>
      <c r="C439" s="1" t="n">
        <v>45676</v>
      </c>
      <c r="D439" t="inlineStr">
        <is>
          <t>VÄSTRA GÖTALANDS LÄN</t>
        </is>
      </c>
      <c r="E439" t="inlineStr">
        <is>
          <t>MUNKEDAL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56766-2023</t>
        </is>
      </c>
      <c r="B440" s="1" t="n">
        <v>45244</v>
      </c>
      <c r="C440" s="1" t="n">
        <v>45676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56744-2023</t>
        </is>
      </c>
      <c r="B441" s="1" t="n">
        <v>45244</v>
      </c>
      <c r="C441" s="1" t="n">
        <v>45676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56892-2023</t>
        </is>
      </c>
      <c r="B442" s="1" t="n">
        <v>45244</v>
      </c>
      <c r="C442" s="1" t="n">
        <v>45676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57606-2023</t>
        </is>
      </c>
      <c r="B443" s="1" t="n">
        <v>45246</v>
      </c>
      <c r="C443" s="1" t="n">
        <v>45676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58487-2023</t>
        </is>
      </c>
      <c r="B444" s="1" t="n">
        <v>45251</v>
      </c>
      <c r="C444" s="1" t="n">
        <v>45676</v>
      </c>
      <c r="D444" t="inlineStr">
        <is>
          <t>VÄSTRA GÖTALANDS LÄN</t>
        </is>
      </c>
      <c r="E444" t="inlineStr">
        <is>
          <t>MUNKEDAL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45676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58583-2023</t>
        </is>
      </c>
      <c r="B446" s="1" t="n">
        <v>45251</v>
      </c>
      <c r="C446" s="1" t="n">
        <v>45676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59502-2023</t>
        </is>
      </c>
      <c r="B447" s="1" t="n">
        <v>45254</v>
      </c>
      <c r="C447" s="1" t="n">
        <v>45676</v>
      </c>
      <c r="D447" t="inlineStr">
        <is>
          <t>VÄSTRA GÖTALANDS LÄN</t>
        </is>
      </c>
      <c r="E447" t="inlineStr">
        <is>
          <t>MUNKEDAL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60497-2023</t>
        </is>
      </c>
      <c r="B448" s="1" t="n">
        <v>45259</v>
      </c>
      <c r="C448" s="1" t="n">
        <v>45676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60662-2023</t>
        </is>
      </c>
      <c r="B449" s="1" t="n">
        <v>45260</v>
      </c>
      <c r="C449" s="1" t="n">
        <v>45676</v>
      </c>
      <c r="D449" t="inlineStr">
        <is>
          <t>VÄSTRA GÖTALANDS LÄN</t>
        </is>
      </c>
      <c r="E449" t="inlineStr">
        <is>
          <t>MUNKEDAL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61621-2023</t>
        </is>
      </c>
      <c r="B450" s="1" t="n">
        <v>45261</v>
      </c>
      <c r="C450" s="1" t="n">
        <v>45676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61584-2023</t>
        </is>
      </c>
      <c r="B451" s="1" t="n">
        <v>45261</v>
      </c>
      <c r="C451" s="1" t="n">
        <v>45676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61695-2023</t>
        </is>
      </c>
      <c r="B452" s="1" t="n">
        <v>45261</v>
      </c>
      <c r="C452" s="1" t="n">
        <v>45676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61374-2023</t>
        </is>
      </c>
      <c r="B453" s="1" t="n">
        <v>45264</v>
      </c>
      <c r="C453" s="1" t="n">
        <v>45676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45676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61885-2023</t>
        </is>
      </c>
      <c r="B455" s="1" t="n">
        <v>45264</v>
      </c>
      <c r="C455" s="1" t="n">
        <v>45676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61768-2023</t>
        </is>
      </c>
      <c r="B456" s="1" t="n">
        <v>45265</v>
      </c>
      <c r="C456" s="1" t="n">
        <v>45676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61821-2023</t>
        </is>
      </c>
      <c r="B457" s="1" t="n">
        <v>45266</v>
      </c>
      <c r="C457" s="1" t="n">
        <v>45676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62090-2023</t>
        </is>
      </c>
      <c r="B458" s="1" t="n">
        <v>45266</v>
      </c>
      <c r="C458" s="1" t="n">
        <v>45676</v>
      </c>
      <c r="D458" t="inlineStr">
        <is>
          <t>VÄSTRA GÖTALANDS LÄN</t>
        </is>
      </c>
      <c r="E458" t="inlineStr">
        <is>
          <t>MUNKEDAL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62331-2023</t>
        </is>
      </c>
      <c r="B459" s="1" t="n">
        <v>45267</v>
      </c>
      <c r="C459" s="1" t="n">
        <v>45676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62502-2023</t>
        </is>
      </c>
      <c r="B460" s="1" t="n">
        <v>45267</v>
      </c>
      <c r="C460" s="1" t="n">
        <v>45676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62463-2023</t>
        </is>
      </c>
      <c r="B461" s="1" t="n">
        <v>45268</v>
      </c>
      <c r="C461" s="1" t="n">
        <v>45676</v>
      </c>
      <c r="D461" t="inlineStr">
        <is>
          <t>VÄSTRA GÖTALANDS LÄN</t>
        </is>
      </c>
      <c r="E461" t="inlineStr">
        <is>
          <t>MUNKEDAL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62706-2023</t>
        </is>
      </c>
      <c r="B462" s="1" t="n">
        <v>45271</v>
      </c>
      <c r="C462" s="1" t="n">
        <v>45676</v>
      </c>
      <c r="D462" t="inlineStr">
        <is>
          <t>VÄSTRA GÖTALANDS LÄN</t>
        </is>
      </c>
      <c r="E462" t="inlineStr">
        <is>
          <t>MUNKEDAL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63093-2023</t>
        </is>
      </c>
      <c r="B463" s="1" t="n">
        <v>45272</v>
      </c>
      <c r="C463" s="1" t="n">
        <v>45676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63251-2023</t>
        </is>
      </c>
      <c r="B464" s="1" t="n">
        <v>45273</v>
      </c>
      <c r="C464" s="1" t="n">
        <v>45676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63512-2023</t>
        </is>
      </c>
      <c r="B465" s="1" t="n">
        <v>45274</v>
      </c>
      <c r="C465" s="1" t="n">
        <v>45676</v>
      </c>
      <c r="D465" t="inlineStr">
        <is>
          <t>VÄSTRA GÖTALANDS LÄN</t>
        </is>
      </c>
      <c r="E465" t="inlineStr">
        <is>
          <t>MUNKEDAL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64879-2023</t>
        </is>
      </c>
      <c r="B466" s="1" t="n">
        <v>45282</v>
      </c>
      <c r="C466" s="1" t="n">
        <v>45676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64881-2023</t>
        </is>
      </c>
      <c r="B467" s="1" t="n">
        <v>45282</v>
      </c>
      <c r="C467" s="1" t="n">
        <v>45676</v>
      </c>
      <c r="D467" t="inlineStr">
        <is>
          <t>VÄSTRA GÖTALANDS LÄN</t>
        </is>
      </c>
      <c r="E467" t="inlineStr">
        <is>
          <t>MUNKEDAL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219-2024</t>
        </is>
      </c>
      <c r="B468" s="1" t="n">
        <v>45293</v>
      </c>
      <c r="C468" s="1" t="n">
        <v>45676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216-2024</t>
        </is>
      </c>
      <c r="B469" s="1" t="n">
        <v>45293</v>
      </c>
      <c r="C469" s="1" t="n">
        <v>45676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447-2024</t>
        </is>
      </c>
      <c r="B470" s="1" t="n">
        <v>45296</v>
      </c>
      <c r="C470" s="1" t="n">
        <v>45676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448-2024</t>
        </is>
      </c>
      <c r="B471" s="1" t="n">
        <v>45296</v>
      </c>
      <c r="C471" s="1" t="n">
        <v>45676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546-2024</t>
        </is>
      </c>
      <c r="B472" s="1" t="n">
        <v>45296</v>
      </c>
      <c r="C472" s="1" t="n">
        <v>45676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1039-2024</t>
        </is>
      </c>
      <c r="B473" s="1" t="n">
        <v>45301</v>
      </c>
      <c r="C473" s="1" t="n">
        <v>45676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1576-2024</t>
        </is>
      </c>
      <c r="B474" s="1" t="n">
        <v>45306</v>
      </c>
      <c r="C474" s="1" t="n">
        <v>45676</v>
      </c>
      <c r="D474" t="inlineStr">
        <is>
          <t>VÄSTRA GÖTALANDS LÄN</t>
        </is>
      </c>
      <c r="E474" t="inlineStr">
        <is>
          <t>MUNKEDAL</t>
        </is>
      </c>
      <c r="G474" t="n">
        <v>25.2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1756-2024</t>
        </is>
      </c>
      <c r="B475" s="1" t="n">
        <v>45307</v>
      </c>
      <c r="C475" s="1" t="n">
        <v>45676</v>
      </c>
      <c r="D475" t="inlineStr">
        <is>
          <t>VÄSTRA GÖTALANDS LÄN</t>
        </is>
      </c>
      <c r="E475" t="inlineStr">
        <is>
          <t>MUNKEDAL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2539-2024</t>
        </is>
      </c>
      <c r="B476" s="1" t="n">
        <v>45313</v>
      </c>
      <c r="C476" s="1" t="n">
        <v>45676</v>
      </c>
      <c r="D476" t="inlineStr">
        <is>
          <t>VÄSTRA GÖTALANDS LÄN</t>
        </is>
      </c>
      <c r="E476" t="inlineStr">
        <is>
          <t>MUNKEDAL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2545-2024</t>
        </is>
      </c>
      <c r="B477" s="1" t="n">
        <v>45313</v>
      </c>
      <c r="C477" s="1" t="n">
        <v>45676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2792-2024</t>
        </is>
      </c>
      <c r="B478" s="1" t="n">
        <v>45314</v>
      </c>
      <c r="C478" s="1" t="n">
        <v>45676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3273-2024</t>
        </is>
      </c>
      <c r="B479" s="1" t="n">
        <v>45316</v>
      </c>
      <c r="C479" s="1" t="n">
        <v>45676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3312-2024</t>
        </is>
      </c>
      <c r="B480" s="1" t="n">
        <v>45317</v>
      </c>
      <c r="C480" s="1" t="n">
        <v>45676</v>
      </c>
      <c r="D480" t="inlineStr">
        <is>
          <t>VÄSTRA GÖTALANDS LÄN</t>
        </is>
      </c>
      <c r="E480" t="inlineStr">
        <is>
          <t>MUNKEDAL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3318-2024</t>
        </is>
      </c>
      <c r="B481" s="1" t="n">
        <v>45317</v>
      </c>
      <c r="C481" s="1" t="n">
        <v>45676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3708-2024</t>
        </is>
      </c>
      <c r="B482" s="1" t="n">
        <v>45321</v>
      </c>
      <c r="C482" s="1" t="n">
        <v>45676</v>
      </c>
      <c r="D482" t="inlineStr">
        <is>
          <t>VÄSTRA GÖTALANDS LÄN</t>
        </is>
      </c>
      <c r="E482" t="inlineStr">
        <is>
          <t>MUNKEDAL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3855-2024</t>
        </is>
      </c>
      <c r="B483" s="1" t="n">
        <v>45322</v>
      </c>
      <c r="C483" s="1" t="n">
        <v>45676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3858-2024</t>
        </is>
      </c>
      <c r="B484" s="1" t="n">
        <v>45322</v>
      </c>
      <c r="C484" s="1" t="n">
        <v>45676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4414-2024</t>
        </is>
      </c>
      <c r="B485" s="1" t="n">
        <v>45324</v>
      </c>
      <c r="C485" s="1" t="n">
        <v>45676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4362-2024</t>
        </is>
      </c>
      <c r="B486" s="1" t="n">
        <v>45325</v>
      </c>
      <c r="C486" s="1" t="n">
        <v>45676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4574-2024</t>
        </is>
      </c>
      <c r="B487" s="1" t="n">
        <v>45327</v>
      </c>
      <c r="C487" s="1" t="n">
        <v>45676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4776-2024</t>
        </is>
      </c>
      <c r="B488" s="1" t="n">
        <v>45328</v>
      </c>
      <c r="C488" s="1" t="n">
        <v>45676</v>
      </c>
      <c r="D488" t="inlineStr">
        <is>
          <t>VÄSTRA GÖTALANDS LÄN</t>
        </is>
      </c>
      <c r="E488" t="inlineStr">
        <is>
          <t>MUNKEDAL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5689-2024</t>
        </is>
      </c>
      <c r="B489" s="1" t="n">
        <v>45334</v>
      </c>
      <c r="C489" s="1" t="n">
        <v>45676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6217-2024</t>
        </is>
      </c>
      <c r="B490" s="1" t="n">
        <v>45337</v>
      </c>
      <c r="C490" s="1" t="n">
        <v>45676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45676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7346-2024</t>
        </is>
      </c>
      <c r="B492" s="1" t="n">
        <v>45345</v>
      </c>
      <c r="C492" s="1" t="n">
        <v>45676</v>
      </c>
      <c r="D492" t="inlineStr">
        <is>
          <t>VÄSTRA GÖTALANDS LÄN</t>
        </is>
      </c>
      <c r="E492" t="inlineStr">
        <is>
          <t>MUNKEDAL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7554-2024</t>
        </is>
      </c>
      <c r="B493" s="1" t="n">
        <v>45348</v>
      </c>
      <c r="C493" s="1" t="n">
        <v>45676</v>
      </c>
      <c r="D493" t="inlineStr">
        <is>
          <t>VÄSTRA GÖTALANDS LÄN</t>
        </is>
      </c>
      <c r="E493" t="inlineStr">
        <is>
          <t>MUNKEDAL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7551-2024</t>
        </is>
      </c>
      <c r="B494" s="1" t="n">
        <v>45348</v>
      </c>
      <c r="C494" s="1" t="n">
        <v>45676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8340-2024</t>
        </is>
      </c>
      <c r="B495" s="1" t="n">
        <v>45350</v>
      </c>
      <c r="C495" s="1" t="n">
        <v>45676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8561-2024</t>
        </is>
      </c>
      <c r="B496" s="1" t="n">
        <v>45351</v>
      </c>
      <c r="C496" s="1" t="n">
        <v>45676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8552-2024</t>
        </is>
      </c>
      <c r="B497" s="1" t="n">
        <v>45351</v>
      </c>
      <c r="C497" s="1" t="n">
        <v>45676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8498-2024</t>
        </is>
      </c>
      <c r="B498" s="1" t="n">
        <v>45355</v>
      </c>
      <c r="C498" s="1" t="n">
        <v>45676</v>
      </c>
      <c r="D498" t="inlineStr">
        <is>
          <t>VÄSTRA GÖTALANDS LÄN</t>
        </is>
      </c>
      <c r="E498" t="inlineStr">
        <is>
          <t>MUNKEDAL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9021-2024</t>
        </is>
      </c>
      <c r="B499" s="1" t="n">
        <v>45356</v>
      </c>
      <c r="C499" s="1" t="n">
        <v>45676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9913-2024</t>
        </is>
      </c>
      <c r="B500" s="1" t="n">
        <v>45363</v>
      </c>
      <c r="C500" s="1" t="n">
        <v>45676</v>
      </c>
      <c r="D500" t="inlineStr">
        <is>
          <t>VÄSTRA GÖTALANDS LÄN</t>
        </is>
      </c>
      <c r="E500" t="inlineStr">
        <is>
          <t>MUNKEDAL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10165-2024</t>
        </is>
      </c>
      <c r="B501" s="1" t="n">
        <v>45364</v>
      </c>
      <c r="C501" s="1" t="n">
        <v>45676</v>
      </c>
      <c r="D501" t="inlineStr">
        <is>
          <t>VÄSTRA GÖTALANDS LÄN</t>
        </is>
      </c>
      <c r="E501" t="inlineStr">
        <is>
          <t>MUNKEDAL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10055-2024</t>
        </is>
      </c>
      <c r="B502" s="1" t="n">
        <v>45364</v>
      </c>
      <c r="C502" s="1" t="n">
        <v>45676</v>
      </c>
      <c r="D502" t="inlineStr">
        <is>
          <t>VÄSTRA GÖTALANDS LÄN</t>
        </is>
      </c>
      <c r="E502" t="inlineStr">
        <is>
          <t>MUNKEDAL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10166-2024</t>
        </is>
      </c>
      <c r="B503" s="1" t="n">
        <v>45364</v>
      </c>
      <c r="C503" s="1" t="n">
        <v>45676</v>
      </c>
      <c r="D503" t="inlineStr">
        <is>
          <t>VÄSTRA GÖTALANDS LÄN</t>
        </is>
      </c>
      <c r="E503" t="inlineStr">
        <is>
          <t>MUNKEDAL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10183-2024</t>
        </is>
      </c>
      <c r="B504" s="1" t="n">
        <v>45364</v>
      </c>
      <c r="C504" s="1" t="n">
        <v>45676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10420-2024</t>
        </is>
      </c>
      <c r="B505" s="1" t="n">
        <v>45365</v>
      </c>
      <c r="C505" s="1" t="n">
        <v>45676</v>
      </c>
      <c r="D505" t="inlineStr">
        <is>
          <t>VÄSTRA GÖTALANDS LÄN</t>
        </is>
      </c>
      <c r="E505" t="inlineStr">
        <is>
          <t>MUNKEDAL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11262-2024</t>
        </is>
      </c>
      <c r="B506" s="1" t="n">
        <v>45371</v>
      </c>
      <c r="C506" s="1" t="n">
        <v>45676</v>
      </c>
      <c r="D506" t="inlineStr">
        <is>
          <t>VÄSTRA GÖTALANDS LÄN</t>
        </is>
      </c>
      <c r="E506" t="inlineStr">
        <is>
          <t>MUNKEDAL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11268-2024</t>
        </is>
      </c>
      <c r="B507" s="1" t="n">
        <v>45371</v>
      </c>
      <c r="C507" s="1" t="n">
        <v>45676</v>
      </c>
      <c r="D507" t="inlineStr">
        <is>
          <t>VÄSTRA GÖTALANDS LÄN</t>
        </is>
      </c>
      <c r="E507" t="inlineStr">
        <is>
          <t>MUNKEDAL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12243-2024</t>
        </is>
      </c>
      <c r="B508" s="1" t="n">
        <v>45378</v>
      </c>
      <c r="C508" s="1" t="n">
        <v>45676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13480-2024</t>
        </is>
      </c>
      <c r="B509" s="1" t="n">
        <v>45387</v>
      </c>
      <c r="C509" s="1" t="n">
        <v>45676</v>
      </c>
      <c r="D509" t="inlineStr">
        <is>
          <t>VÄSTRA GÖTALANDS LÄN</t>
        </is>
      </c>
      <c r="E509" t="inlineStr">
        <is>
          <t>MUNKEDAL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13561-2024</t>
        </is>
      </c>
      <c r="B510" s="1" t="n">
        <v>45388</v>
      </c>
      <c r="C510" s="1" t="n">
        <v>45676</v>
      </c>
      <c r="D510" t="inlineStr">
        <is>
          <t>VÄSTRA GÖTALANDS LÄN</t>
        </is>
      </c>
      <c r="E510" t="inlineStr">
        <is>
          <t>MUNKEDAL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14076-2024</t>
        </is>
      </c>
      <c r="B511" s="1" t="n">
        <v>45392</v>
      </c>
      <c r="C511" s="1" t="n">
        <v>45676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14095-2024</t>
        </is>
      </c>
      <c r="B512" s="1" t="n">
        <v>45392</v>
      </c>
      <c r="C512" s="1" t="n">
        <v>45676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14125-2024</t>
        </is>
      </c>
      <c r="B513" s="1" t="n">
        <v>45392</v>
      </c>
      <c r="C513" s="1" t="n">
        <v>45676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14339-2024</t>
        </is>
      </c>
      <c r="B514" s="1" t="n">
        <v>45393</v>
      </c>
      <c r="C514" s="1" t="n">
        <v>45676</v>
      </c>
      <c r="D514" t="inlineStr">
        <is>
          <t>VÄSTRA GÖTALANDS LÄN</t>
        </is>
      </c>
      <c r="E514" t="inlineStr">
        <is>
          <t>MUNKEDAL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14495-2024</t>
        </is>
      </c>
      <c r="B515" s="1" t="n">
        <v>45394</v>
      </c>
      <c r="C515" s="1" t="n">
        <v>45676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14678-2024</t>
        </is>
      </c>
      <c r="B516" s="1" t="n">
        <v>45397</v>
      </c>
      <c r="C516" s="1" t="n">
        <v>45676</v>
      </c>
      <c r="D516" t="inlineStr">
        <is>
          <t>VÄSTRA GÖTALANDS LÄN</t>
        </is>
      </c>
      <c r="E516" t="inlineStr">
        <is>
          <t>MUNKEDAL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15300-2024</t>
        </is>
      </c>
      <c r="B517" s="1" t="n">
        <v>45400</v>
      </c>
      <c r="C517" s="1" t="n">
        <v>45676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15299-2024</t>
        </is>
      </c>
      <c r="B518" s="1" t="n">
        <v>45400</v>
      </c>
      <c r="C518" s="1" t="n">
        <v>45676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15350-2024</t>
        </is>
      </c>
      <c r="B519" s="1" t="n">
        <v>45400</v>
      </c>
      <c r="C519" s="1" t="n">
        <v>45676</v>
      </c>
      <c r="D519" t="inlineStr">
        <is>
          <t>VÄSTRA GÖTALANDS LÄN</t>
        </is>
      </c>
      <c r="E519" t="inlineStr">
        <is>
          <t>MUNKEDAL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15555-2024</t>
        </is>
      </c>
      <c r="B520" s="1" t="n">
        <v>45401</v>
      </c>
      <c r="C520" s="1" t="n">
        <v>45676</v>
      </c>
      <c r="D520" t="inlineStr">
        <is>
          <t>VÄSTRA GÖTALANDS LÄN</t>
        </is>
      </c>
      <c r="E520" t="inlineStr">
        <is>
          <t>MUNKEDAL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16638-2024</t>
        </is>
      </c>
      <c r="B521" s="1" t="n">
        <v>45408</v>
      </c>
      <c r="C521" s="1" t="n">
        <v>45676</v>
      </c>
      <c r="D521" t="inlineStr">
        <is>
          <t>VÄSTRA GÖTALANDS LÄN</t>
        </is>
      </c>
      <c r="E521" t="inlineStr">
        <is>
          <t>MUNKEDAL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17718-2024</t>
        </is>
      </c>
      <c r="B522" s="1" t="n">
        <v>45418</v>
      </c>
      <c r="C522" s="1" t="n">
        <v>45676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17678-2024</t>
        </is>
      </c>
      <c r="B523" s="1" t="n">
        <v>45418</v>
      </c>
      <c r="C523" s="1" t="n">
        <v>45676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17914-2024</t>
        </is>
      </c>
      <c r="B524" s="1" t="n">
        <v>45419</v>
      </c>
      <c r="C524" s="1" t="n">
        <v>45676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17967-2024</t>
        </is>
      </c>
      <c r="B525" s="1" t="n">
        <v>45419</v>
      </c>
      <c r="C525" s="1" t="n">
        <v>45676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20220-2024</t>
        </is>
      </c>
      <c r="B526" s="1" t="n">
        <v>45434</v>
      </c>
      <c r="C526" s="1" t="n">
        <v>45676</v>
      </c>
      <c r="D526" t="inlineStr">
        <is>
          <t>VÄSTRA GÖTALANDS LÄN</t>
        </is>
      </c>
      <c r="E526" t="inlineStr">
        <is>
          <t>MUNKEDAL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23412-2024</t>
        </is>
      </c>
      <c r="B527" s="1" t="n">
        <v>45453</v>
      </c>
      <c r="C527" s="1" t="n">
        <v>45676</v>
      </c>
      <c r="D527" t="inlineStr">
        <is>
          <t>VÄSTRA GÖTALANDS LÄN</t>
        </is>
      </c>
      <c r="E527" t="inlineStr">
        <is>
          <t>MUNKEDAL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23871-2024</t>
        </is>
      </c>
      <c r="B528" s="1" t="n">
        <v>45455</v>
      </c>
      <c r="C528" s="1" t="n">
        <v>45676</v>
      </c>
      <c r="D528" t="inlineStr">
        <is>
          <t>VÄSTRA GÖTALANDS LÄN</t>
        </is>
      </c>
      <c r="E528" t="inlineStr">
        <is>
          <t>MUNKEDAL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24088-2024</t>
        </is>
      </c>
      <c r="B529" s="1" t="n">
        <v>45456</v>
      </c>
      <c r="C529" s="1" t="n">
        <v>45676</v>
      </c>
      <c r="D529" t="inlineStr">
        <is>
          <t>VÄSTRA GÖTALANDS LÄN</t>
        </is>
      </c>
      <c r="E529" t="inlineStr">
        <is>
          <t>MUNKEDAL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24073-2024</t>
        </is>
      </c>
      <c r="B530" s="1" t="n">
        <v>45456</v>
      </c>
      <c r="C530" s="1" t="n">
        <v>45676</v>
      </c>
      <c r="D530" t="inlineStr">
        <is>
          <t>VÄSTRA GÖTALANDS LÄN</t>
        </is>
      </c>
      <c r="E530" t="inlineStr">
        <is>
          <t>MUNKEDAL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24522-2024</t>
        </is>
      </c>
      <c r="B531" s="1" t="n">
        <v>45458</v>
      </c>
      <c r="C531" s="1" t="n">
        <v>45676</v>
      </c>
      <c r="D531" t="inlineStr">
        <is>
          <t>VÄSTRA GÖTALANDS LÄN</t>
        </is>
      </c>
      <c r="E531" t="inlineStr">
        <is>
          <t>MUNKEDAL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24823-2024</t>
        </is>
      </c>
      <c r="B532" s="1" t="n">
        <v>45461</v>
      </c>
      <c r="C532" s="1" t="n">
        <v>45676</v>
      </c>
      <c r="D532" t="inlineStr">
        <is>
          <t>VÄSTRA GÖTALANDS LÄN</t>
        </is>
      </c>
      <c r="E532" t="inlineStr">
        <is>
          <t>MUNKEDAL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25408-2024</t>
        </is>
      </c>
      <c r="B533" s="1" t="n">
        <v>45463</v>
      </c>
      <c r="C533" s="1" t="n">
        <v>45676</v>
      </c>
      <c r="D533" t="inlineStr">
        <is>
          <t>VÄSTRA GÖTALANDS LÄN</t>
        </is>
      </c>
      <c r="E533" t="inlineStr">
        <is>
          <t>MUNKEDAL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26703-2024</t>
        </is>
      </c>
      <c r="B534" s="1" t="n">
        <v>45470</v>
      </c>
      <c r="C534" s="1" t="n">
        <v>45676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26699-2024</t>
        </is>
      </c>
      <c r="B535" s="1" t="n">
        <v>45470</v>
      </c>
      <c r="C535" s="1" t="n">
        <v>45676</v>
      </c>
      <c r="D535" t="inlineStr">
        <is>
          <t>VÄSTRA GÖTALANDS LÄN</t>
        </is>
      </c>
      <c r="E535" t="inlineStr">
        <is>
          <t>MUNKEDAL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26700-2024</t>
        </is>
      </c>
      <c r="B536" s="1" t="n">
        <v>45470</v>
      </c>
      <c r="C536" s="1" t="n">
        <v>45676</v>
      </c>
      <c r="D536" t="inlineStr">
        <is>
          <t>VÄSTRA GÖTALANDS LÄN</t>
        </is>
      </c>
      <c r="E536" t="inlineStr">
        <is>
          <t>MUNKEDAL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28692-2024</t>
        </is>
      </c>
      <c r="B537" s="1" t="n">
        <v>45478</v>
      </c>
      <c r="C537" s="1" t="n">
        <v>45676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28678-2024</t>
        </is>
      </c>
      <c r="B538" s="1" t="n">
        <v>45478</v>
      </c>
      <c r="C538" s="1" t="n">
        <v>45676</v>
      </c>
      <c r="D538" t="inlineStr">
        <is>
          <t>VÄSTRA GÖTALANDS LÄN</t>
        </is>
      </c>
      <c r="E538" t="inlineStr">
        <is>
          <t>MUNKEDAL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29132-2024</t>
        </is>
      </c>
      <c r="B539" s="1" t="n">
        <v>45482</v>
      </c>
      <c r="C539" s="1" t="n">
        <v>45676</v>
      </c>
      <c r="D539" t="inlineStr">
        <is>
          <t>VÄSTRA GÖTALANDS LÄN</t>
        </is>
      </c>
      <c r="E539" t="inlineStr">
        <is>
          <t>MUNKEDAL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29573-2024</t>
        </is>
      </c>
      <c r="B540" s="1" t="n">
        <v>45484</v>
      </c>
      <c r="C540" s="1" t="n">
        <v>45676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29588-2024</t>
        </is>
      </c>
      <c r="B541" s="1" t="n">
        <v>45484</v>
      </c>
      <c r="C541" s="1" t="n">
        <v>45676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29961-2024</t>
        </is>
      </c>
      <c r="B542" s="1" t="n">
        <v>45488</v>
      </c>
      <c r="C542" s="1" t="n">
        <v>45676</v>
      </c>
      <c r="D542" t="inlineStr">
        <is>
          <t>VÄSTRA GÖTALANDS LÄN</t>
        </is>
      </c>
      <c r="E542" t="inlineStr">
        <is>
          <t>MUNKEDAL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29969-2024</t>
        </is>
      </c>
      <c r="B543" s="1" t="n">
        <v>45488</v>
      </c>
      <c r="C543" s="1" t="n">
        <v>45676</v>
      </c>
      <c r="D543" t="inlineStr">
        <is>
          <t>VÄSTRA GÖTALANDS LÄN</t>
        </is>
      </c>
      <c r="E543" t="inlineStr">
        <is>
          <t>MUNKEDAL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29956-2024</t>
        </is>
      </c>
      <c r="B544" s="1" t="n">
        <v>45488</v>
      </c>
      <c r="C544" s="1" t="n">
        <v>45676</v>
      </c>
      <c r="D544" t="inlineStr">
        <is>
          <t>VÄSTRA GÖTALANDS LÄN</t>
        </is>
      </c>
      <c r="E544" t="inlineStr">
        <is>
          <t>MUNKEDAL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29952-2024</t>
        </is>
      </c>
      <c r="B545" s="1" t="n">
        <v>45488</v>
      </c>
      <c r="C545" s="1" t="n">
        <v>45676</v>
      </c>
      <c r="D545" t="inlineStr">
        <is>
          <t>VÄSTRA GÖTALANDS LÄN</t>
        </is>
      </c>
      <c r="E545" t="inlineStr">
        <is>
          <t>MUNKEDAL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29946-2024</t>
        </is>
      </c>
      <c r="B546" s="1" t="n">
        <v>45488</v>
      </c>
      <c r="C546" s="1" t="n">
        <v>45676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29959-2024</t>
        </is>
      </c>
      <c r="B547" s="1" t="n">
        <v>45488</v>
      </c>
      <c r="C547" s="1" t="n">
        <v>45676</v>
      </c>
      <c r="D547" t="inlineStr">
        <is>
          <t>VÄSTRA GÖTALANDS LÄN</t>
        </is>
      </c>
      <c r="E547" t="inlineStr">
        <is>
          <t>MUNKEDAL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30131-2024</t>
        </is>
      </c>
      <c r="B548" s="1" t="n">
        <v>45489</v>
      </c>
      <c r="C548" s="1" t="n">
        <v>45676</v>
      </c>
      <c r="D548" t="inlineStr">
        <is>
          <t>VÄSTRA GÖTALANDS LÄN</t>
        </is>
      </c>
      <c r="E548" t="inlineStr">
        <is>
          <t>MUNKEDAL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30133-2024</t>
        </is>
      </c>
      <c r="B549" s="1" t="n">
        <v>45489</v>
      </c>
      <c r="C549" s="1" t="n">
        <v>45676</v>
      </c>
      <c r="D549" t="inlineStr">
        <is>
          <t>VÄSTRA GÖTALANDS LÄN</t>
        </is>
      </c>
      <c r="E549" t="inlineStr">
        <is>
          <t>MUNKEDAL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33030-2024</t>
        </is>
      </c>
      <c r="B550" s="1" t="n">
        <v>45517</v>
      </c>
      <c r="C550" s="1" t="n">
        <v>45676</v>
      </c>
      <c r="D550" t="inlineStr">
        <is>
          <t>VÄSTRA GÖTALANDS LÄN</t>
        </is>
      </c>
      <c r="E550" t="inlineStr">
        <is>
          <t>MUNKEDAL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33918-2024</t>
        </is>
      </c>
      <c r="B551" s="1" t="n">
        <v>45522</v>
      </c>
      <c r="C551" s="1" t="n">
        <v>45676</v>
      </c>
      <c r="D551" t="inlineStr">
        <is>
          <t>VÄSTRA GÖTALANDS LÄN</t>
        </is>
      </c>
      <c r="E551" t="inlineStr">
        <is>
          <t>MUNKEDAL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33925-2024</t>
        </is>
      </c>
      <c r="B552" s="1" t="n">
        <v>45522</v>
      </c>
      <c r="C552" s="1" t="n">
        <v>45676</v>
      </c>
      <c r="D552" t="inlineStr">
        <is>
          <t>VÄSTRA GÖTALANDS LÄN</t>
        </is>
      </c>
      <c r="E552" t="inlineStr">
        <is>
          <t>MUNKEDAL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34488-2024</t>
        </is>
      </c>
      <c r="B553" s="1" t="n">
        <v>45525</v>
      </c>
      <c r="C553" s="1" t="n">
        <v>45676</v>
      </c>
      <c r="D553" t="inlineStr">
        <is>
          <t>VÄSTRA GÖTALANDS LÄN</t>
        </is>
      </c>
      <c r="E553" t="inlineStr">
        <is>
          <t>MUNKEDAL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35198-2024</t>
        </is>
      </c>
      <c r="B554" s="1" t="n">
        <v>45530</v>
      </c>
      <c r="C554" s="1" t="n">
        <v>45676</v>
      </c>
      <c r="D554" t="inlineStr">
        <is>
          <t>VÄSTRA GÖTALANDS LÄN</t>
        </is>
      </c>
      <c r="E554" t="inlineStr">
        <is>
          <t>MUNKEDAL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35750-2024</t>
        </is>
      </c>
      <c r="B555" s="1" t="n">
        <v>45532</v>
      </c>
      <c r="C555" s="1" t="n">
        <v>45676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35685-2024</t>
        </is>
      </c>
      <c r="B556" s="1" t="n">
        <v>45532</v>
      </c>
      <c r="C556" s="1" t="n">
        <v>45676</v>
      </c>
      <c r="D556" t="inlineStr">
        <is>
          <t>VÄSTRA GÖTALANDS LÄN</t>
        </is>
      </c>
      <c r="E556" t="inlineStr">
        <is>
          <t>MUNKEDAL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36995-2024</t>
        </is>
      </c>
      <c r="B557" s="1" t="n">
        <v>45538</v>
      </c>
      <c r="C557" s="1" t="n">
        <v>45676</v>
      </c>
      <c r="D557" t="inlineStr">
        <is>
          <t>VÄSTRA GÖTALANDS LÄN</t>
        </is>
      </c>
      <c r="E557" t="inlineStr">
        <is>
          <t>MUNKEDAL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37331-2024</t>
        </is>
      </c>
      <c r="B558" s="1" t="n">
        <v>45540</v>
      </c>
      <c r="C558" s="1" t="n">
        <v>45676</v>
      </c>
      <c r="D558" t="inlineStr">
        <is>
          <t>VÄSTRA GÖTALANDS LÄN</t>
        </is>
      </c>
      <c r="E558" t="inlineStr">
        <is>
          <t>MUNKEDAL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37383-2024</t>
        </is>
      </c>
      <c r="B559" s="1" t="n">
        <v>45540</v>
      </c>
      <c r="C559" s="1" t="n">
        <v>45676</v>
      </c>
      <c r="D559" t="inlineStr">
        <is>
          <t>VÄSTRA GÖTALANDS LÄN</t>
        </is>
      </c>
      <c r="E559" t="inlineStr">
        <is>
          <t>MUNKEDAL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37389-2024</t>
        </is>
      </c>
      <c r="B560" s="1" t="n">
        <v>45540</v>
      </c>
      <c r="C560" s="1" t="n">
        <v>45676</v>
      </c>
      <c r="D560" t="inlineStr">
        <is>
          <t>VÄSTRA GÖTALANDS LÄN</t>
        </is>
      </c>
      <c r="E560" t="inlineStr">
        <is>
          <t>MUNKEDAL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38544-2024</t>
        </is>
      </c>
      <c r="B561" s="1" t="n">
        <v>45546</v>
      </c>
      <c r="C561" s="1" t="n">
        <v>45676</v>
      </c>
      <c r="D561" t="inlineStr">
        <is>
          <t>VÄSTRA GÖTALANDS LÄN</t>
        </is>
      </c>
      <c r="E561" t="inlineStr">
        <is>
          <t>MUNKEDAL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38576-2024</t>
        </is>
      </c>
      <c r="B562" s="1" t="n">
        <v>45546</v>
      </c>
      <c r="C562" s="1" t="n">
        <v>45676</v>
      </c>
      <c r="D562" t="inlineStr">
        <is>
          <t>VÄSTRA GÖTALANDS LÄN</t>
        </is>
      </c>
      <c r="E562" t="inlineStr">
        <is>
          <t>MUNKEDAL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38716-2024</t>
        </is>
      </c>
      <c r="B563" s="1" t="n">
        <v>45547</v>
      </c>
      <c r="C563" s="1" t="n">
        <v>45676</v>
      </c>
      <c r="D563" t="inlineStr">
        <is>
          <t>VÄSTRA GÖTALANDS LÄN</t>
        </is>
      </c>
      <c r="E563" t="inlineStr">
        <is>
          <t>MUNKEDAL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38718-2024</t>
        </is>
      </c>
      <c r="B564" s="1" t="n">
        <v>45547</v>
      </c>
      <c r="C564" s="1" t="n">
        <v>45676</v>
      </c>
      <c r="D564" t="inlineStr">
        <is>
          <t>VÄSTRA GÖTALANDS LÄN</t>
        </is>
      </c>
      <c r="E564" t="inlineStr">
        <is>
          <t>MUNKEDAL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38707-2024</t>
        </is>
      </c>
      <c r="B565" s="1" t="n">
        <v>45547</v>
      </c>
      <c r="C565" s="1" t="n">
        <v>45676</v>
      </c>
      <c r="D565" t="inlineStr">
        <is>
          <t>VÄSTRA GÖTALANDS LÄN</t>
        </is>
      </c>
      <c r="E565" t="inlineStr">
        <is>
          <t>MUNKEDAL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38842-2024</t>
        </is>
      </c>
      <c r="B566" s="1" t="n">
        <v>45547</v>
      </c>
      <c r="C566" s="1" t="n">
        <v>45676</v>
      </c>
      <c r="D566" t="inlineStr">
        <is>
          <t>VÄSTRA GÖTALANDS LÄN</t>
        </is>
      </c>
      <c r="E566" t="inlineStr">
        <is>
          <t>MUNKEDAL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40647-2024</t>
        </is>
      </c>
      <c r="B567" s="1" t="n">
        <v>45557</v>
      </c>
      <c r="C567" s="1" t="n">
        <v>45676</v>
      </c>
      <c r="D567" t="inlineStr">
        <is>
          <t>VÄSTRA GÖTALANDS LÄN</t>
        </is>
      </c>
      <c r="E567" t="inlineStr">
        <is>
          <t>MUNKEDAL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41714-2024</t>
        </is>
      </c>
      <c r="B568" s="1" t="n">
        <v>45560</v>
      </c>
      <c r="C568" s="1" t="n">
        <v>45676</v>
      </c>
      <c r="D568" t="inlineStr">
        <is>
          <t>VÄSTRA GÖTALANDS LÄN</t>
        </is>
      </c>
      <c r="E568" t="inlineStr">
        <is>
          <t>MUNKEDAL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41716-2024</t>
        </is>
      </c>
      <c r="B569" s="1" t="n">
        <v>45560</v>
      </c>
      <c r="C569" s="1" t="n">
        <v>45676</v>
      </c>
      <c r="D569" t="inlineStr">
        <is>
          <t>VÄSTRA GÖTALANDS LÄN</t>
        </is>
      </c>
      <c r="E569" t="inlineStr">
        <is>
          <t>MUNKEDAL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41909-2024</t>
        </is>
      </c>
      <c r="B570" s="1" t="n">
        <v>45561</v>
      </c>
      <c r="C570" s="1" t="n">
        <v>45676</v>
      </c>
      <c r="D570" t="inlineStr">
        <is>
          <t>VÄSTRA GÖTALANDS LÄN</t>
        </is>
      </c>
      <c r="E570" t="inlineStr">
        <is>
          <t>MUNKEDAL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43322-2024</t>
        </is>
      </c>
      <c r="B571" s="1" t="n">
        <v>45568</v>
      </c>
      <c r="C571" s="1" t="n">
        <v>45676</v>
      </c>
      <c r="D571" t="inlineStr">
        <is>
          <t>VÄSTRA GÖTALANDS LÄN</t>
        </is>
      </c>
      <c r="E571" t="inlineStr">
        <is>
          <t>MUNKEDAL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43583-2024</t>
        </is>
      </c>
      <c r="B572" s="1" t="n">
        <v>45569</v>
      </c>
      <c r="C572" s="1" t="n">
        <v>45676</v>
      </c>
      <c r="D572" t="inlineStr">
        <is>
          <t>VÄSTRA GÖTALANDS LÄN</t>
        </is>
      </c>
      <c r="E572" t="inlineStr">
        <is>
          <t>MUNKEDAL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44267-2024</t>
        </is>
      </c>
      <c r="B573" s="1" t="n">
        <v>45573</v>
      </c>
      <c r="C573" s="1" t="n">
        <v>45676</v>
      </c>
      <c r="D573" t="inlineStr">
        <is>
          <t>VÄSTRA GÖTALANDS LÄN</t>
        </is>
      </c>
      <c r="E573" t="inlineStr">
        <is>
          <t>MUNKEDAL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44864-2024</t>
        </is>
      </c>
      <c r="B574" s="1" t="n">
        <v>45575</v>
      </c>
      <c r="C574" s="1" t="n">
        <v>45676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45083-2024</t>
        </is>
      </c>
      <c r="B575" s="1" t="n">
        <v>45575</v>
      </c>
      <c r="C575" s="1" t="n">
        <v>45676</v>
      </c>
      <c r="D575" t="inlineStr">
        <is>
          <t>VÄSTRA GÖTALANDS LÄN</t>
        </is>
      </c>
      <c r="E575" t="inlineStr">
        <is>
          <t>MUNKEDAL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45165-2024</t>
        </is>
      </c>
      <c r="B576" s="1" t="n">
        <v>45575</v>
      </c>
      <c r="C576" s="1" t="n">
        <v>45676</v>
      </c>
      <c r="D576" t="inlineStr">
        <is>
          <t>VÄSTRA GÖTALANDS LÄN</t>
        </is>
      </c>
      <c r="E576" t="inlineStr">
        <is>
          <t>MUNKEDAL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46434-2024</t>
        </is>
      </c>
      <c r="B577" s="1" t="n">
        <v>45582</v>
      </c>
      <c r="C577" s="1" t="n">
        <v>45676</v>
      </c>
      <c r="D577" t="inlineStr">
        <is>
          <t>VÄSTRA GÖTALANDS LÄN</t>
        </is>
      </c>
      <c r="E577" t="inlineStr">
        <is>
          <t>MUNKEDAL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46418-2024</t>
        </is>
      </c>
      <c r="B578" s="1" t="n">
        <v>45582</v>
      </c>
      <c r="C578" s="1" t="n">
        <v>45676</v>
      </c>
      <c r="D578" t="inlineStr">
        <is>
          <t>VÄSTRA GÖTALANDS LÄN</t>
        </is>
      </c>
      <c r="E578" t="inlineStr">
        <is>
          <t>MUNKEDAL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46440-2024</t>
        </is>
      </c>
      <c r="B579" s="1" t="n">
        <v>45582</v>
      </c>
      <c r="C579" s="1" t="n">
        <v>45676</v>
      </c>
      <c r="D579" t="inlineStr">
        <is>
          <t>VÄSTRA GÖTALANDS LÄN</t>
        </is>
      </c>
      <c r="E579" t="inlineStr">
        <is>
          <t>MUNKEDAL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47464-2024</t>
        </is>
      </c>
      <c r="B580" s="1" t="n">
        <v>45587</v>
      </c>
      <c r="C580" s="1" t="n">
        <v>45676</v>
      </c>
      <c r="D580" t="inlineStr">
        <is>
          <t>VÄSTRA GÖTALANDS LÄN</t>
        </is>
      </c>
      <c r="E580" t="inlineStr">
        <is>
          <t>MUNKEDAL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47760-2024</t>
        </is>
      </c>
      <c r="B581" s="1" t="n">
        <v>45588</v>
      </c>
      <c r="C581" s="1" t="n">
        <v>45676</v>
      </c>
      <c r="D581" t="inlineStr">
        <is>
          <t>VÄSTRA GÖTALANDS LÄN</t>
        </is>
      </c>
      <c r="E581" t="inlineStr">
        <is>
          <t>MUNKEDAL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47758-2024</t>
        </is>
      </c>
      <c r="B582" s="1" t="n">
        <v>45588</v>
      </c>
      <c r="C582" s="1" t="n">
        <v>45676</v>
      </c>
      <c r="D582" t="inlineStr">
        <is>
          <t>VÄSTRA GÖTALANDS LÄN</t>
        </is>
      </c>
      <c r="E582" t="inlineStr">
        <is>
          <t>MUNKEDAL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48166-2024</t>
        </is>
      </c>
      <c r="B583" s="1" t="n">
        <v>45589</v>
      </c>
      <c r="C583" s="1" t="n">
        <v>45676</v>
      </c>
      <c r="D583" t="inlineStr">
        <is>
          <t>VÄSTRA GÖTALANDS LÄN</t>
        </is>
      </c>
      <c r="E583" t="inlineStr">
        <is>
          <t>MUNKEDAL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48027-2024</t>
        </is>
      </c>
      <c r="B584" s="1" t="n">
        <v>45589</v>
      </c>
      <c r="C584" s="1" t="n">
        <v>45676</v>
      </c>
      <c r="D584" t="inlineStr">
        <is>
          <t>VÄSTRA GÖTALANDS LÄN</t>
        </is>
      </c>
      <c r="E584" t="inlineStr">
        <is>
          <t>MUNKEDAL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48849-2024</t>
        </is>
      </c>
      <c r="B585" s="1" t="n">
        <v>45593</v>
      </c>
      <c r="C585" s="1" t="n">
        <v>45676</v>
      </c>
      <c r="D585" t="inlineStr">
        <is>
          <t>VÄSTRA GÖTALANDS LÄN</t>
        </is>
      </c>
      <c r="E585" t="inlineStr">
        <is>
          <t>MUNKEDAL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48901-2024</t>
        </is>
      </c>
      <c r="B586" s="1" t="n">
        <v>45594</v>
      </c>
      <c r="C586" s="1" t="n">
        <v>45676</v>
      </c>
      <c r="D586" t="inlineStr">
        <is>
          <t>VÄSTRA GÖTALANDS LÄN</t>
        </is>
      </c>
      <c r="E586" t="inlineStr">
        <is>
          <t>MUNKEDAL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49216-2024</t>
        </is>
      </c>
      <c r="B587" s="1" t="n">
        <v>45595</v>
      </c>
      <c r="C587" s="1" t="n">
        <v>45676</v>
      </c>
      <c r="D587" t="inlineStr">
        <is>
          <t>VÄSTRA GÖTALANDS LÄN</t>
        </is>
      </c>
      <c r="E587" t="inlineStr">
        <is>
          <t>MUNKEDAL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49991-2024</t>
        </is>
      </c>
      <c r="B588" s="1" t="n">
        <v>45595</v>
      </c>
      <c r="C588" s="1" t="n">
        <v>45676</v>
      </c>
      <c r="D588" t="inlineStr">
        <is>
          <t>VÄSTRA GÖTALANDS LÄN</t>
        </is>
      </c>
      <c r="E588" t="inlineStr">
        <is>
          <t>MUNKEDAL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49574-2024</t>
        </is>
      </c>
      <c r="B589" s="1" t="n">
        <v>45596</v>
      </c>
      <c r="C589" s="1" t="n">
        <v>45676</v>
      </c>
      <c r="D589" t="inlineStr">
        <is>
          <t>VÄSTRA GÖTALANDS LÄN</t>
        </is>
      </c>
      <c r="E589" t="inlineStr">
        <is>
          <t>MUNKEDAL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49576-2024</t>
        </is>
      </c>
      <c r="B590" s="1" t="n">
        <v>45596</v>
      </c>
      <c r="C590" s="1" t="n">
        <v>45676</v>
      </c>
      <c r="D590" t="inlineStr">
        <is>
          <t>VÄSTRA GÖTALANDS LÄN</t>
        </is>
      </c>
      <c r="E590" t="inlineStr">
        <is>
          <t>MUNKEDAL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49984-2024</t>
        </is>
      </c>
      <c r="B591" s="1" t="n">
        <v>45597</v>
      </c>
      <c r="C591" s="1" t="n">
        <v>45676</v>
      </c>
      <c r="D591" t="inlineStr">
        <is>
          <t>VÄSTRA GÖTALANDS LÄN</t>
        </is>
      </c>
      <c r="E591" t="inlineStr">
        <is>
          <t>MUNKEDAL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50051-2024</t>
        </is>
      </c>
      <c r="B592" s="1" t="n">
        <v>45597</v>
      </c>
      <c r="C592" s="1" t="n">
        <v>45676</v>
      </c>
      <c r="D592" t="inlineStr">
        <is>
          <t>VÄSTRA GÖTALANDS LÄN</t>
        </is>
      </c>
      <c r="E592" t="inlineStr">
        <is>
          <t>MUNKEDAL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50165-2024</t>
        </is>
      </c>
      <c r="B593" s="1" t="n">
        <v>45600</v>
      </c>
      <c r="C593" s="1" t="n">
        <v>45676</v>
      </c>
      <c r="D593" t="inlineStr">
        <is>
          <t>VÄSTRA GÖTALANDS LÄN</t>
        </is>
      </c>
      <c r="E593" t="inlineStr">
        <is>
          <t>MUNKEDAL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50854-2024</t>
        </is>
      </c>
      <c r="B594" s="1" t="n">
        <v>45602</v>
      </c>
      <c r="C594" s="1" t="n">
        <v>45676</v>
      </c>
      <c r="D594" t="inlineStr">
        <is>
          <t>VÄSTRA GÖTALANDS LÄN</t>
        </is>
      </c>
      <c r="E594" t="inlineStr">
        <is>
          <t>MUNKEDAL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51270-2024</t>
        </is>
      </c>
      <c r="B595" s="1" t="n">
        <v>45603</v>
      </c>
      <c r="C595" s="1" t="n">
        <v>45676</v>
      </c>
      <c r="D595" t="inlineStr">
        <is>
          <t>VÄSTRA GÖTALANDS LÄN</t>
        </is>
      </c>
      <c r="E595" t="inlineStr">
        <is>
          <t>MUNKEDAL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52900-2024</t>
        </is>
      </c>
      <c r="B596" s="1" t="n">
        <v>45610</v>
      </c>
      <c r="C596" s="1" t="n">
        <v>45676</v>
      </c>
      <c r="D596" t="inlineStr">
        <is>
          <t>VÄSTRA GÖTALANDS LÄN</t>
        </is>
      </c>
      <c r="E596" t="inlineStr">
        <is>
          <t>MUNKEDAL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53514-2024</t>
        </is>
      </c>
      <c r="B597" s="1" t="n">
        <v>45614</v>
      </c>
      <c r="C597" s="1" t="n">
        <v>45676</v>
      </c>
      <c r="D597" t="inlineStr">
        <is>
          <t>VÄSTRA GÖTALANDS LÄN</t>
        </is>
      </c>
      <c r="E597" t="inlineStr">
        <is>
          <t>MUNKEDAL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53255-2024</t>
        </is>
      </c>
      <c r="B598" s="1" t="n">
        <v>45614</v>
      </c>
      <c r="C598" s="1" t="n">
        <v>45676</v>
      </c>
      <c r="D598" t="inlineStr">
        <is>
          <t>VÄSTRA GÖTALANDS LÄN</t>
        </is>
      </c>
      <c r="E598" t="inlineStr">
        <is>
          <t>MUNKEDAL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53901-2024</t>
        </is>
      </c>
      <c r="B599" s="1" t="n">
        <v>45615</v>
      </c>
      <c r="C599" s="1" t="n">
        <v>45676</v>
      </c>
      <c r="D599" t="inlineStr">
        <is>
          <t>VÄSTRA GÖTALANDS LÄN</t>
        </is>
      </c>
      <c r="E599" t="inlineStr">
        <is>
          <t>MUNKEDAL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45676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45676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45676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45676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54861-2024</t>
        </is>
      </c>
      <c r="B604" s="1" t="n">
        <v>45618</v>
      </c>
      <c r="C604" s="1" t="n">
        <v>45676</v>
      </c>
      <c r="D604" t="inlineStr">
        <is>
          <t>VÄSTRA GÖTALANDS LÄN</t>
        </is>
      </c>
      <c r="E604" t="inlineStr">
        <is>
          <t>MUNKEDAL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54760-2024</t>
        </is>
      </c>
      <c r="B605" s="1" t="n">
        <v>45618</v>
      </c>
      <c r="C605" s="1" t="n">
        <v>45676</v>
      </c>
      <c r="D605" t="inlineStr">
        <is>
          <t>VÄSTRA GÖTALANDS LÄN</t>
        </is>
      </c>
      <c r="E605" t="inlineStr">
        <is>
          <t>MUNKEDAL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54866-2024</t>
        </is>
      </c>
      <c r="B606" s="1" t="n">
        <v>45618</v>
      </c>
      <c r="C606" s="1" t="n">
        <v>45676</v>
      </c>
      <c r="D606" t="inlineStr">
        <is>
          <t>VÄSTRA GÖTALANDS LÄN</t>
        </is>
      </c>
      <c r="E606" t="inlineStr">
        <is>
          <t>MUNKEDAL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54955-2024</t>
        </is>
      </c>
      <c r="B607" s="1" t="n">
        <v>45619</v>
      </c>
      <c r="C607" s="1" t="n">
        <v>45676</v>
      </c>
      <c r="D607" t="inlineStr">
        <is>
          <t>VÄSTRA GÖTALANDS LÄN</t>
        </is>
      </c>
      <c r="E607" t="inlineStr">
        <is>
          <t>MUNKEDAL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55183-2024</t>
        </is>
      </c>
      <c r="B608" s="1" t="n">
        <v>45620</v>
      </c>
      <c r="C608" s="1" t="n">
        <v>45676</v>
      </c>
      <c r="D608" t="inlineStr">
        <is>
          <t>VÄSTRA GÖTALANDS LÄN</t>
        </is>
      </c>
      <c r="E608" t="inlineStr">
        <is>
          <t>MUNKEDAL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55070-2024</t>
        </is>
      </c>
      <c r="B609" s="1" t="n">
        <v>45621</v>
      </c>
      <c r="C609" s="1" t="n">
        <v>45676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45676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56867-2024</t>
        </is>
      </c>
      <c r="B611" s="1" t="n">
        <v>45625</v>
      </c>
      <c r="C611" s="1" t="n">
        <v>45676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45676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45676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45676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45676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45676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45676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45676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57744-2024</t>
        </is>
      </c>
      <c r="B619" s="1" t="n">
        <v>45630</v>
      </c>
      <c r="C619" s="1" t="n">
        <v>45676</v>
      </c>
      <c r="D619" t="inlineStr">
        <is>
          <t>VÄSTRA GÖTALANDS LÄN</t>
        </is>
      </c>
      <c r="E619" t="inlineStr">
        <is>
          <t>MUNKEDAL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58251-2024</t>
        </is>
      </c>
      <c r="B620" s="1" t="n">
        <v>45631</v>
      </c>
      <c r="C620" s="1" t="n">
        <v>45676</v>
      </c>
      <c r="D620" t="inlineStr">
        <is>
          <t>VÄSTRA GÖTALANDS LÄN</t>
        </is>
      </c>
      <c r="E620" t="inlineStr">
        <is>
          <t>MUNKEDAL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58325-2024</t>
        </is>
      </c>
      <c r="B621" s="1" t="n">
        <v>45632</v>
      </c>
      <c r="C621" s="1" t="n">
        <v>45676</v>
      </c>
      <c r="D621" t="inlineStr">
        <is>
          <t>VÄSTRA GÖTALANDS LÄN</t>
        </is>
      </c>
      <c r="E621" t="inlineStr">
        <is>
          <t>MUNKEDAL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45676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58933-2024</t>
        </is>
      </c>
      <c r="B623" s="1" t="n">
        <v>45636</v>
      </c>
      <c r="C623" s="1" t="n">
        <v>45676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45676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45676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45676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45676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60229-2024</t>
        </is>
      </c>
      <c r="B628" s="1" t="n">
        <v>45640</v>
      </c>
      <c r="C628" s="1" t="n">
        <v>45676</v>
      </c>
      <c r="D628" t="inlineStr">
        <is>
          <t>VÄSTRA GÖTALANDS LÄN</t>
        </is>
      </c>
      <c r="E628" t="inlineStr">
        <is>
          <t>MUNKEDAL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60439-2024</t>
        </is>
      </c>
      <c r="B629" s="1" t="n">
        <v>45643</v>
      </c>
      <c r="C629" s="1" t="n">
        <v>45676</v>
      </c>
      <c r="D629" t="inlineStr">
        <is>
          <t>VÄSTRA GÖTALANDS LÄN</t>
        </is>
      </c>
      <c r="E629" t="inlineStr">
        <is>
          <t>MUNKEDAL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910-2025</t>
        </is>
      </c>
      <c r="B630" s="1" t="n">
        <v>45664</v>
      </c>
      <c r="C630" s="1" t="n">
        <v>45676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912-2025</t>
        </is>
      </c>
      <c r="B631" s="1" t="n">
        <v>45664</v>
      </c>
      <c r="C631" s="1" t="n">
        <v>45676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1135-2025</t>
        </is>
      </c>
      <c r="B632" s="1" t="n">
        <v>45666</v>
      </c>
      <c r="C632" s="1" t="n">
        <v>45676</v>
      </c>
      <c r="D632" t="inlineStr">
        <is>
          <t>VÄSTRA GÖTALANDS LÄN</t>
        </is>
      </c>
      <c r="E632" t="inlineStr">
        <is>
          <t>MUNKEDAL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1559-2025</t>
        </is>
      </c>
      <c r="B633" s="1" t="n">
        <v>45667</v>
      </c>
      <c r="C633" s="1" t="n">
        <v>45676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1553-2025</t>
        </is>
      </c>
      <c r="B634" s="1" t="n">
        <v>45667</v>
      </c>
      <c r="C634" s="1" t="n">
        <v>45676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1690-2025</t>
        </is>
      </c>
      <c r="B635" s="1" t="n">
        <v>45670</v>
      </c>
      <c r="C635" s="1" t="n">
        <v>45676</v>
      </c>
      <c r="D635" t="inlineStr">
        <is>
          <t>VÄSTRA GÖTALANDS LÄN</t>
        </is>
      </c>
      <c r="E635" t="inlineStr">
        <is>
          <t>MUNKEDAL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2353-2025</t>
        </is>
      </c>
      <c r="B636" s="1" t="n">
        <v>45672</v>
      </c>
      <c r="C636" s="1" t="n">
        <v>45676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2567-2025</t>
        </is>
      </c>
      <c r="B637" s="1" t="n">
        <v>45674</v>
      </c>
      <c r="C637" s="1" t="n">
        <v>45676</v>
      </c>
      <c r="D637" t="inlineStr">
        <is>
          <t>VÄSTRA GÖTALANDS LÄN</t>
        </is>
      </c>
      <c r="E637" t="inlineStr">
        <is>
          <t>MUNKEDAL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2560-2025</t>
        </is>
      </c>
      <c r="B638" s="1" t="n">
        <v>45674</v>
      </c>
      <c r="C638" s="1" t="n">
        <v>45676</v>
      </c>
      <c r="D638" t="inlineStr">
        <is>
          <t>VÄSTRA GÖTALANDS LÄN</t>
        </is>
      </c>
      <c r="E638" t="inlineStr">
        <is>
          <t>MUNKEDAL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2025-01-19T15:58:13Z</dcterms:created>
  <dcterms:modified xmlns:dcterms="http://purl.org/dc/terms/" xmlns:xsi="http://www.w3.org/2001/XMLSchema-instance" xsi:type="dcterms:W3CDTF">2025-01-19T15:58:13Z</dcterms:modified>
</cp:coreProperties>
</file>