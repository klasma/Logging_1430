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46273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46273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46273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46273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46273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46273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46273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46273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46273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46273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46273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46273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46273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46273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62525-2021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46273</v>
      </c>
      <c r="F17" t="inlineStr">
        <is>
          <t>VÄSTRA GÖTALANDS LÄN</t>
        </is>
      </c>
      <c r="G17" t="inlineStr">
        <is>
          <t>MUNKEDAL</t>
        </is>
      </c>
      <c r="I17" t="n">
        <v>14.5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Trollsmultron</t>
        </is>
      </c>
      <c r="W17">
        <f>HYPERLINK("https://klasma.github.io/Logging_1430/artfynd/A 62525-2021 artfynd.xlsx", "A 62525-2021")</f>
        <v/>
      </c>
      <c r="X17">
        <f>HYPERLINK("https://klasma.github.io/Logging_1430/kartor/A 62525-2021 karta.png", "A 62525-2021")</f>
        <v/>
      </c>
      <c r="Y17">
        <f>HYPERLINK("https://klasma.github.io/Logging_1430/kartor_geotiff/A 62525-2021 georefererad karta.tif", "A 62525-2021")</f>
        <v/>
      </c>
      <c r="AA17">
        <f>HYPERLINK("https://klasma.github.io/Logging_1430/klagomål/A 62525-2021 FSC-klagomål.docx", "A 62525-2021")</f>
        <v/>
      </c>
      <c r="AB17">
        <f>HYPERLINK("https://klasma.github.io/Logging_1430/klagomålsmail/A 62525-2021 FSC-klagomål mail.docx", "A 62525-2021")</f>
        <v/>
      </c>
      <c r="AC17">
        <f>HYPERLINK("https://klasma.github.io/Logging_1430/tillsyn/A 62525-2021 tillsynsbegäran.docx", "A 62525-2021")</f>
        <v/>
      </c>
      <c r="AD17">
        <f>HYPERLINK("https://klasma.github.io/Logging_1430/tillsynsmail/A 62525-2021 tillsynsbegäran mail.docx", "A 62525-2021")</f>
        <v/>
      </c>
    </row>
    <row r="18" ht="15" customHeight="1">
      <c r="A18" t="inlineStr">
        <is>
          <t>A 37035-2024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46273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Övriga Aktiebolag</t>
        </is>
      </c>
      <c r="I18" t="n">
        <v>43.6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HYPERLINK("https://klasma.github.io/Logging_1430/artfynd/A 37035-2024 artfynd.xlsx", "A 37035-2024")</f>
        <v/>
      </c>
      <c r="X18">
        <f>HYPERLINK("https://klasma.github.io/Logging_1430/kartor/A 37035-2024 karta.png", "A 37035-2024")</f>
        <v/>
      </c>
      <c r="Y18">
        <f>HYPERLINK("https://klasma.github.io/Logging_1430/kartor_geotiff/A 37035-2024 georefererad karta.tif", "A 37035-2024")</f>
        <v/>
      </c>
      <c r="AA18">
        <f>HYPERLINK("https://klasma.github.io/Logging_1430/klagomål/A 37035-2024 FSC-klagomål.docx", "A 37035-2024")</f>
        <v/>
      </c>
      <c r="AB18">
        <f>HYPERLINK("https://klasma.github.io/Logging_1430/klagomålsmail/A 37035-2024 FSC-klagomål mail.docx", "A 37035-2024")</f>
        <v/>
      </c>
      <c r="AC18">
        <f>HYPERLINK("https://klasma.github.io/Logging_1430/tillsyn/A 37035-2024 tillsynsbegäran.docx", "A 37035-2024")</f>
        <v/>
      </c>
      <c r="AD18">
        <f>HYPERLINK("https://klasma.github.io/Logging_1430/tillsynsmail/A 37035-2024 tillsynsbegäran mail.docx", "A 37035-2024")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46273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22963-2026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46160</v>
      </c>
      <c r="E20" s="1" t="n">
        <v>46273</v>
      </c>
      <c r="F20" t="inlineStr">
        <is>
          <t>VÄSTRA GÖTALANDS LÄN</t>
        </is>
      </c>
      <c r="G20" t="inlineStr">
        <is>
          <t>MUNKEDAL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HYPERLINK("https://klasma.github.io/Logging_1430/artfynd/A 22963-2026 artfynd.xlsx", "A 22963-2026")</f>
        <v/>
      </c>
      <c r="X20">
        <f>HYPERLINK("https://klasma.github.io/Logging_1430/kartor/A 22963-2026 karta.png", "A 22963-2026")</f>
        <v/>
      </c>
      <c r="Y20">
        <f>HYPERLINK("https://klasma.github.io/Logging_1430/kartor_geotiff/A 22963-2026 georefererad karta.tif", "A 22963-2026")</f>
        <v/>
      </c>
      <c r="AA20">
        <f>HYPERLINK("https://klasma.github.io/Logging_1430/klagomål/A 22963-2026 FSC-klagomål.docx", "A 22963-2026")</f>
        <v/>
      </c>
      <c r="AB20">
        <f>HYPERLINK("https://klasma.github.io/Logging_1430/klagomålsmail/A 22963-2026 FSC-klagomål mail.docx", "A 22963-2026")</f>
        <v/>
      </c>
      <c r="AC20">
        <f>HYPERLINK("https://klasma.github.io/Logging_1430/tillsyn/A 22963-2026 tillsynsbegäran.docx", "A 22963-2026")</f>
        <v/>
      </c>
      <c r="AD20">
        <f>HYPERLINK("https://klasma.github.io/Logging_1430/tillsynsmail/A 22963-2026 tillsynsbegäran mail.docx", "A 22963-2026")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46273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23065-2026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46273</v>
      </c>
      <c r="F22" t="inlineStr">
        <is>
          <t>VÄSTRA GÖTALANDS LÄN</t>
        </is>
      </c>
      <c r="G22" t="inlineStr">
        <is>
          <t>MUNKEDAL</t>
        </is>
      </c>
      <c r="I22" t="n">
        <v>7.5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23065-2026 artfynd.xlsx", "A 23065-2026")</f>
        <v/>
      </c>
      <c r="X22">
        <f>HYPERLINK("https://klasma.github.io/Logging_1430/kartor/A 23065-2026 karta.png", "A 23065-2026")</f>
        <v/>
      </c>
      <c r="Y22">
        <f>HYPERLINK("https://klasma.github.io/Logging_1430/kartor_geotiff/A 23065-2026 georefererad karta.tif", "A 23065-2026")</f>
        <v/>
      </c>
      <c r="AA22">
        <f>HYPERLINK("https://klasma.github.io/Logging_1430/klagomål/A 23065-2026 FSC-klagomål.docx", "A 23065-2026")</f>
        <v/>
      </c>
      <c r="AB22">
        <f>HYPERLINK("https://klasma.github.io/Logging_1430/klagomålsmail/A 23065-2026 FSC-klagomål mail.docx", "A 23065-2026")</f>
        <v/>
      </c>
      <c r="AC22">
        <f>HYPERLINK("https://klasma.github.io/Logging_1430/tillsyn/A 23065-2026 tillsynsbegäran.docx", "A 23065-2026")</f>
        <v/>
      </c>
      <c r="AD22">
        <f>HYPERLINK("https://klasma.github.io/Logging_1430/tillsynsmail/A 23065-2026 tillsynsbegäran mail.docx", "A 23065-2026")</f>
        <v/>
      </c>
    </row>
    <row r="23" ht="15" customHeight="1">
      <c r="A23" t="inlineStr">
        <is>
          <t>A 45083-2024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46273</v>
      </c>
      <c r="F23" t="inlineStr">
        <is>
          <t>VÄSTRA GÖTALANDS LÄN</t>
        </is>
      </c>
      <c r="G23" t="inlineStr">
        <is>
          <t>MUNKEDAL</t>
        </is>
      </c>
      <c r="I23" t="n">
        <v>2.7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HYPERLINK("https://klasma.github.io/Logging_1430/artfynd/A 45083-2024 artfynd.xlsx", "A 45083-2024")</f>
        <v/>
      </c>
      <c r="X23">
        <f>HYPERLINK("https://klasma.github.io/Logging_1430/kartor/A 45083-2024 karta.png", "A 45083-2024")</f>
        <v/>
      </c>
      <c r="Y23">
        <f>HYPERLINK("https://klasma.github.io/Logging_1430/kartor_geotiff/A 45083-2024 georefererad karta.tif", "A 45083-2024")</f>
        <v/>
      </c>
      <c r="AA23">
        <f>HYPERLINK("https://klasma.github.io/Logging_1430/klagomål/A 45083-2024 FSC-klagomål.docx", "A 45083-2024")</f>
        <v/>
      </c>
      <c r="AB23">
        <f>HYPERLINK("https://klasma.github.io/Logging_1430/klagomålsmail/A 45083-2024 FSC-klagomål mail.docx", "A 45083-2024")</f>
        <v/>
      </c>
      <c r="AC23">
        <f>HYPERLINK("https://klasma.github.io/Logging_1430/tillsyn/A 45083-2024 tillsynsbegäran.docx", "A 45083-2024")</f>
        <v/>
      </c>
      <c r="AD23">
        <f>HYPERLINK("https://klasma.github.io/Logging_1430/tillsynsmail/A 45083-2024 tillsynsbegäran mail.docx", "A 45083-2024")</f>
        <v/>
      </c>
    </row>
    <row r="24" ht="15" customHeight="1">
      <c r="A24" t="inlineStr">
        <is>
          <t>A 58890-2022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46273</v>
      </c>
      <c r="F24" t="inlineStr">
        <is>
          <t>VÄSTRA GÖTALANDS LÄN</t>
        </is>
      </c>
      <c r="G24" t="inlineStr">
        <is>
          <t>MUNKEDAL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HYPERLINK("https://klasma.github.io/Logging_1430/artfynd/A 58890-2022 artfynd.xlsx", "A 58890-2022")</f>
        <v/>
      </c>
      <c r="X24">
        <f>HYPERLINK("https://klasma.github.io/Logging_1430/kartor/A 58890-2022 karta.png", "A 58890-2022")</f>
        <v/>
      </c>
      <c r="Y24">
        <f>HYPERLINK("https://klasma.github.io/Logging_1430/kartor_geotiff/A 58890-2022 georefererad karta.tif", "A 58890-2022")</f>
        <v/>
      </c>
      <c r="AA24">
        <f>HYPERLINK("https://klasma.github.io/Logging_1430/klagomål/A 58890-2022 FSC-klagomål.docx", "A 58890-2022")</f>
        <v/>
      </c>
      <c r="AB24">
        <f>HYPERLINK("https://klasma.github.io/Logging_1430/klagomålsmail/A 58890-2022 FSC-klagomål mail.docx", "A 58890-2022")</f>
        <v/>
      </c>
      <c r="AC24">
        <f>HYPERLINK("https://klasma.github.io/Logging_1430/tillsyn/A 58890-2022 tillsynsbegäran.docx", "A 58890-2022")</f>
        <v/>
      </c>
      <c r="AD24">
        <f>HYPERLINK("https://klasma.github.io/Logging_1430/tillsynsmail/A 58890-2022 tillsynsbegäran mail.docx", "A 58890-2022")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46273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46273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46273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46273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46273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46273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46273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46273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46273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46273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46273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46273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46273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46273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46273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46273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46273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46273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46273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46273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46273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46273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46273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46273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46273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44683</v>
      </c>
      <c r="E50" s="1" t="n">
        <v>46273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46273</v>
      </c>
      <c r="F51" t="inlineStr">
        <is>
          <t>VÄSTRA GÖTALANDS LÄN</t>
        </is>
      </c>
      <c r="G51" t="inlineStr">
        <is>
          <t>MUNKEDAL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46273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46273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46273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46273</v>
      </c>
      <c r="F55" t="inlineStr">
        <is>
          <t>VÄSTRA GÖTALANDS LÄN</t>
        </is>
      </c>
      <c r="G55" t="inlineStr">
        <is>
          <t>MUNKEDAL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58617-2023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45251</v>
      </c>
      <c r="E56" s="1" t="n">
        <v>46273</v>
      </c>
      <c r="F56" t="inlineStr">
        <is>
          <t>VÄSTRA GÖTALANDS LÄN</t>
        </is>
      </c>
      <c r="G56" t="inlineStr">
        <is>
          <t>MUNKEDAL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46273</v>
      </c>
      <c r="F57" t="inlineStr">
        <is>
          <t>VÄSTRA GÖTALANDS LÄN</t>
        </is>
      </c>
      <c r="G57" t="inlineStr">
        <is>
          <t>MUNKEDAL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46273</v>
      </c>
      <c r="F58" t="inlineStr">
        <is>
          <t>VÄSTRA GÖTALANDS LÄN</t>
        </is>
      </c>
      <c r="G58" t="inlineStr">
        <is>
          <t>MUNKEDAL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46273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Övriga Aktiebolag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45261</v>
      </c>
      <c r="E60" s="1" t="n">
        <v>46273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14339-2024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45393</v>
      </c>
      <c r="E61" s="1" t="n">
        <v>46273</v>
      </c>
      <c r="F61" t="inlineStr">
        <is>
          <t>VÄSTRA GÖTALANDS LÄN</t>
        </is>
      </c>
      <c r="G61" t="inlineStr">
        <is>
          <t>MUNKEDAL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46273</v>
      </c>
      <c r="F62" t="inlineStr">
        <is>
          <t>VÄSTRA GÖTALANDS LÄN</t>
        </is>
      </c>
      <c r="G62" t="inlineStr">
        <is>
          <t>MUNKEDAL</t>
        </is>
      </c>
      <c r="H62" t="inlineStr">
        <is>
          <t>Kyrkan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45755</v>
      </c>
      <c r="E63" s="1" t="n">
        <v>46273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Övriga Aktiebolag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28678-2024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46273</v>
      </c>
      <c r="F64" t="inlineStr">
        <is>
          <t>VÄSTRA GÖTALANDS LÄN</t>
        </is>
      </c>
      <c r="G64" t="inlineStr">
        <is>
          <t>MUNKEDAL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45097</v>
      </c>
      <c r="E65" s="1" t="n">
        <v>46273</v>
      </c>
      <c r="F65" t="inlineStr">
        <is>
          <t>VÄSTRA GÖTALANDS LÄN</t>
        </is>
      </c>
      <c r="G65" t="inlineStr">
        <is>
          <t>MUNKEDAL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45418</v>
      </c>
      <c r="E66" s="1" t="n">
        <v>46273</v>
      </c>
      <c r="F66" t="inlineStr">
        <is>
          <t>VÄSTRA GÖTALANDS LÄN</t>
        </is>
      </c>
      <c r="G66" t="inlineStr">
        <is>
          <t>MUNKEDAL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46273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Naturvårdsverket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36891-2023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45154</v>
      </c>
      <c r="E68" s="1" t="n">
        <v>46273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45455</v>
      </c>
      <c r="E69" s="1" t="n">
        <v>46273</v>
      </c>
      <c r="F69" t="inlineStr">
        <is>
          <t>VÄSTRA GÖTALANDS LÄN</t>
        </is>
      </c>
      <c r="G69" t="inlineStr">
        <is>
          <t>MUNKEDAL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46273</v>
      </c>
      <c r="F70" t="inlineStr">
        <is>
          <t>VÄSTRA GÖTALANDS LÄN</t>
        </is>
      </c>
      <c r="G70" t="inlineStr">
        <is>
          <t>MUNKEDAL</t>
        </is>
      </c>
      <c r="I70" t="n">
        <v>9.300000000000001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46273</v>
      </c>
      <c r="F71" t="inlineStr">
        <is>
          <t>VÄSTRA GÖTALANDS LÄN</t>
        </is>
      </c>
      <c r="G71" t="inlineStr">
        <is>
          <t>MUNKEDAL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45488</v>
      </c>
      <c r="E72" s="1" t="n">
        <v>46273</v>
      </c>
      <c r="F72" t="inlineStr">
        <is>
          <t>VÄSTRA GÖTALANDS LÄN</t>
        </is>
      </c>
      <c r="G72" t="inlineStr">
        <is>
          <t>MUNKEDAL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46273</v>
      </c>
      <c r="F73" t="inlineStr">
        <is>
          <t>VÄSTRA GÖTALANDS LÄN</t>
        </is>
      </c>
      <c r="G73" t="inlineStr">
        <is>
          <t>MUNKEDAL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9748-2023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46273</v>
      </c>
      <c r="F74" t="inlineStr">
        <is>
          <t>VÄSTRA GÖTALANDS LÄN</t>
        </is>
      </c>
      <c r="G74" t="inlineStr">
        <is>
          <t>MUNKEDAL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46273</v>
      </c>
      <c r="F75" t="inlineStr">
        <is>
          <t>VÄSTRA GÖTALANDS LÄN</t>
        </is>
      </c>
      <c r="G75" t="inlineStr">
        <is>
          <t>MUNKEDAL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45631</v>
      </c>
      <c r="E76" s="1" t="n">
        <v>46273</v>
      </c>
      <c r="F76" t="inlineStr">
        <is>
          <t>VÄSTRA GÖTALANDS LÄN</t>
        </is>
      </c>
      <c r="G76" t="inlineStr">
        <is>
          <t>MUNKEDAL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46273</v>
      </c>
      <c r="F77" t="inlineStr">
        <is>
          <t>VÄSTRA GÖTALANDS LÄN</t>
        </is>
      </c>
      <c r="G77" t="inlineStr">
        <is>
          <t>MUNKEDAL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24073-2024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45456</v>
      </c>
      <c r="E78" s="1" t="n">
        <v>46273</v>
      </c>
      <c r="F78" t="inlineStr">
        <is>
          <t>VÄSTRA GÖTALANDS LÄN</t>
        </is>
      </c>
      <c r="G78" t="inlineStr">
        <is>
          <t>MUNKEDAL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45148</v>
      </c>
      <c r="E79" s="1" t="n">
        <v>46273</v>
      </c>
      <c r="F79" t="inlineStr">
        <is>
          <t>VÄSTRA GÖTALANDS LÄN</t>
        </is>
      </c>
      <c r="G79" t="inlineStr">
        <is>
          <t>MUNKEDAL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46273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45522</v>
      </c>
      <c r="E81" s="1" t="n">
        <v>46273</v>
      </c>
      <c r="F81" t="inlineStr">
        <is>
          <t>VÄSTRA GÖTALANDS LÄN</t>
        </is>
      </c>
      <c r="G81" t="inlineStr">
        <is>
          <t>MUNKEDAL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45618</v>
      </c>
      <c r="E82" s="1" t="n">
        <v>46273</v>
      </c>
      <c r="F82" t="inlineStr">
        <is>
          <t>VÄSTRA GÖTALANDS LÄN</t>
        </is>
      </c>
      <c r="G82" t="inlineStr">
        <is>
          <t>MUNKEDAL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46273</v>
      </c>
      <c r="F83" t="inlineStr">
        <is>
          <t>VÄSTRA GÖTALANDS LÄN</t>
        </is>
      </c>
      <c r="G83" t="inlineStr">
        <is>
          <t>MUNKEDAL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44897</v>
      </c>
      <c r="E84" s="1" t="n">
        <v>46273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46273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46273</v>
      </c>
      <c r="F86" t="inlineStr">
        <is>
          <t>VÄSTRA GÖTALANDS LÄN</t>
        </is>
      </c>
      <c r="G86" t="inlineStr">
        <is>
          <t>MUNKEDAL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39163-2023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46273</v>
      </c>
      <c r="F87" t="inlineStr">
        <is>
          <t>VÄSTRA GÖTALANDS LÄN</t>
        </is>
      </c>
      <c r="G87" t="inlineStr">
        <is>
          <t>MUNKEDAL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46273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45233</v>
      </c>
      <c r="E89" s="1" t="n">
        <v>46273</v>
      </c>
      <c r="F89" t="inlineStr">
        <is>
          <t>VÄSTRA GÖTALANDS LÄN</t>
        </is>
      </c>
      <c r="G89" t="inlineStr">
        <is>
          <t>MUNKEDAL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44929</v>
      </c>
      <c r="E90" s="1" t="n">
        <v>46273</v>
      </c>
      <c r="F90" t="inlineStr">
        <is>
          <t>VÄSTRA GÖTALANDS LÄN</t>
        </is>
      </c>
      <c r="G90" t="inlineStr">
        <is>
          <t>MUNKEDAL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45618</v>
      </c>
      <c r="E91" s="1" t="n">
        <v>46273</v>
      </c>
      <c r="F91" t="inlineStr">
        <is>
          <t>VÄSTRA GÖTALANDS LÄN</t>
        </is>
      </c>
      <c r="G91" t="inlineStr">
        <is>
          <t>MUNKEDAL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46273</v>
      </c>
      <c r="F92" t="inlineStr">
        <is>
          <t>VÄSTRA GÖTALANDS LÄN</t>
        </is>
      </c>
      <c r="G92" t="inlineStr">
        <is>
          <t>MUNKEDAL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45640</v>
      </c>
      <c r="E93" s="1" t="n">
        <v>46273</v>
      </c>
      <c r="F93" t="inlineStr">
        <is>
          <t>VÄSTRA GÖTALANDS LÄN</t>
        </is>
      </c>
      <c r="G93" t="inlineStr">
        <is>
          <t>MUNKEDAL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46273</v>
      </c>
      <c r="F94" t="inlineStr">
        <is>
          <t>VÄSTRA GÖTALANDS LÄN</t>
        </is>
      </c>
      <c r="G94" t="inlineStr">
        <is>
          <t>MUNKEDAL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46273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46273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46273</v>
      </c>
      <c r="F97" t="inlineStr">
        <is>
          <t>VÄSTRA GÖTALANDS LÄN</t>
        </is>
      </c>
      <c r="G97" t="inlineStr">
        <is>
          <t>MUNKEDAL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45819</v>
      </c>
      <c r="E98" s="1" t="n">
        <v>46273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45874</v>
      </c>
      <c r="E99" s="1" t="n">
        <v>46273</v>
      </c>
      <c r="F99" t="inlineStr">
        <is>
          <t>VÄSTRA GÖTALANDS LÄN</t>
        </is>
      </c>
      <c r="G99" t="inlineStr">
        <is>
          <t>MUNKEDAL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46273</v>
      </c>
      <c r="F100" t="inlineStr">
        <is>
          <t>VÄSTRA GÖTALANDS LÄN</t>
        </is>
      </c>
      <c r="G100" t="inlineStr">
        <is>
          <t>MUNKEDAL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46273</v>
      </c>
      <c r="F101" t="inlineStr">
        <is>
          <t>VÄSTRA GÖTALANDS LÄN</t>
        </is>
      </c>
      <c r="G101" t="inlineStr">
        <is>
          <t>MUNKEDAL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46273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46273</v>
      </c>
      <c r="F103" t="inlineStr">
        <is>
          <t>VÄSTRA GÖTALANDS LÄN</t>
        </is>
      </c>
      <c r="G103" t="inlineStr">
        <is>
          <t>MUNKEDAL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46273</v>
      </c>
      <c r="F104" t="inlineStr">
        <is>
          <t>VÄSTRA GÖTALANDS LÄN</t>
        </is>
      </c>
      <c r="G104" t="inlineStr">
        <is>
          <t>MUNKEDAL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45640</v>
      </c>
      <c r="E105" s="1" t="n">
        <v>46273</v>
      </c>
      <c r="F105" t="inlineStr">
        <is>
          <t>VÄSTRA GÖTALANDS LÄN</t>
        </is>
      </c>
      <c r="G105" t="inlineStr">
        <is>
          <t>MUNKEDAL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45640</v>
      </c>
      <c r="E106" s="1" t="n">
        <v>46273</v>
      </c>
      <c r="F106" t="inlineStr">
        <is>
          <t>VÄSTRA GÖTALANDS LÄN</t>
        </is>
      </c>
      <c r="G106" t="inlineStr">
        <is>
          <t>MUNKEDAL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45388</v>
      </c>
      <c r="E107" s="1" t="n">
        <v>46273</v>
      </c>
      <c r="F107" t="inlineStr">
        <is>
          <t>VÄSTRA GÖTALANDS LÄN</t>
        </is>
      </c>
      <c r="G107" t="inlineStr">
        <is>
          <t>MUNKEDAL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44608</v>
      </c>
      <c r="E108" s="1" t="n">
        <v>46273</v>
      </c>
      <c r="F108" t="inlineStr">
        <is>
          <t>VÄSTRA GÖTALANDS LÄN</t>
        </is>
      </c>
      <c r="G108" t="inlineStr">
        <is>
          <t>MUNKEDAL</t>
        </is>
      </c>
      <c r="I108" t="n">
        <v>15.4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46273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18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46273</v>
      </c>
      <c r="F110" t="inlineStr">
        <is>
          <t>VÄSTRA GÖTALANDS LÄN</t>
        </is>
      </c>
      <c r="G110" t="inlineStr">
        <is>
          <t>MUNKEDAL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46273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46273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46273</v>
      </c>
      <c r="F113" t="inlineStr">
        <is>
          <t>VÄSTRA GÖTALANDS LÄN</t>
        </is>
      </c>
      <c r="G113" t="inlineStr">
        <is>
          <t>MUNKEDAL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45582</v>
      </c>
      <c r="E114" s="1" t="n">
        <v>46273</v>
      </c>
      <c r="F114" t="inlineStr">
        <is>
          <t>VÄSTRA GÖTALANDS LÄN</t>
        </is>
      </c>
      <c r="G114" t="inlineStr">
        <is>
          <t>MUNKEDAL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46273</v>
      </c>
      <c r="F115" t="inlineStr">
        <is>
          <t>VÄSTRA GÖTALANDS LÄN</t>
        </is>
      </c>
      <c r="G115" t="inlineStr">
        <is>
          <t>MUNKEDAL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46273</v>
      </c>
      <c r="F116" t="inlineStr">
        <is>
          <t>VÄSTRA GÖTALANDS LÄN</t>
        </is>
      </c>
      <c r="G116" t="inlineStr">
        <is>
          <t>MUNKEDAL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46273</v>
      </c>
      <c r="F117" t="inlineStr">
        <is>
          <t>VÄSTRA GÖTALANDS LÄN</t>
        </is>
      </c>
      <c r="G117" t="inlineStr">
        <is>
          <t>MUNKEDAL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49350-2025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46273</v>
      </c>
      <c r="F118" t="inlineStr">
        <is>
          <t>VÄSTRA GÖTALANDS LÄN</t>
        </is>
      </c>
      <c r="G118" t="inlineStr">
        <is>
          <t>MUNKEDAL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46273</v>
      </c>
      <c r="F119" t="inlineStr">
        <is>
          <t>VÄSTRA GÖTALANDS LÄN</t>
        </is>
      </c>
      <c r="G119" t="inlineStr">
        <is>
          <t>MUNKEDAL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44760</v>
      </c>
      <c r="E120" s="1" t="n">
        <v>46273</v>
      </c>
      <c r="F120" t="inlineStr">
        <is>
          <t>VÄSTRA GÖTALANDS LÄN</t>
        </is>
      </c>
      <c r="G120" t="inlineStr">
        <is>
          <t>MUNKEDAL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45127</v>
      </c>
      <c r="E121" s="1" t="n">
        <v>46273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46273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46273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13303-2023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45005</v>
      </c>
      <c r="E124" s="1" t="n">
        <v>46273</v>
      </c>
      <c r="F124" t="inlineStr">
        <is>
          <t>VÄSTRA GÖTALANDS LÄN</t>
        </is>
      </c>
      <c r="G124" t="inlineStr">
        <is>
          <t>MUNKEDAL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46273</v>
      </c>
      <c r="F125" t="inlineStr">
        <is>
          <t>VÄSTRA GÖTALANDS LÄN</t>
        </is>
      </c>
      <c r="G125" t="inlineStr">
        <is>
          <t>MUNKEDAL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45072</v>
      </c>
      <c r="E126" s="1" t="n">
        <v>46273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Kommuner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46273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46273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46273</v>
      </c>
      <c r="F129" t="inlineStr">
        <is>
          <t>VÄSTRA GÖTALANDS LÄN</t>
        </is>
      </c>
      <c r="G129" t="inlineStr">
        <is>
          <t>MUNKEDAL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45488</v>
      </c>
      <c r="E130" s="1" t="n">
        <v>46273</v>
      </c>
      <c r="F130" t="inlineStr">
        <is>
          <t>VÄSTRA GÖTALANDS LÄN</t>
        </is>
      </c>
      <c r="G130" t="inlineStr">
        <is>
          <t>MUNKEDAL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46273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45489</v>
      </c>
      <c r="E132" s="1" t="n">
        <v>46273</v>
      </c>
      <c r="F132" t="inlineStr">
        <is>
          <t>VÄSTRA GÖTALANDS LÄN</t>
        </is>
      </c>
      <c r="G132" t="inlineStr">
        <is>
          <t>MUNKEDAL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45540</v>
      </c>
      <c r="E133" s="1" t="n">
        <v>46273</v>
      </c>
      <c r="F133" t="inlineStr">
        <is>
          <t>VÄSTRA GÖTALANDS LÄN</t>
        </is>
      </c>
      <c r="G133" t="inlineStr">
        <is>
          <t>MUNKEDAL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45355</v>
      </c>
      <c r="E134" s="1" t="n">
        <v>46273</v>
      </c>
      <c r="F134" t="inlineStr">
        <is>
          <t>VÄSTRA GÖTALANDS LÄN</t>
        </is>
      </c>
      <c r="G134" t="inlineStr">
        <is>
          <t>MUNKEDAL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46050</v>
      </c>
      <c r="E135" s="1" t="n">
        <v>46273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46273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46273</v>
      </c>
      <c r="F137" t="inlineStr">
        <is>
          <t>VÄSTRA GÖTALANDS LÄN</t>
        </is>
      </c>
      <c r="G137" t="inlineStr">
        <is>
          <t>MUNKEDAL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46142</v>
      </c>
      <c r="E138" s="1" t="n">
        <v>46273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45921</v>
      </c>
      <c r="E139" s="1" t="n">
        <v>46273</v>
      </c>
      <c r="F139" t="inlineStr">
        <is>
          <t>VÄSTRA GÖTALANDS LÄN</t>
        </is>
      </c>
      <c r="G139" t="inlineStr">
        <is>
          <t>MUNKEDAL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46273</v>
      </c>
      <c r="F140" t="inlineStr">
        <is>
          <t>VÄSTRA GÖTALANDS LÄN</t>
        </is>
      </c>
      <c r="G140" t="inlineStr">
        <is>
          <t>MUNKEDAL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45678</v>
      </c>
      <c r="E141" s="1" t="n">
        <v>46273</v>
      </c>
      <c r="F141" t="inlineStr">
        <is>
          <t>VÄSTRA GÖTALANDS LÄN</t>
        </is>
      </c>
      <c r="G141" t="inlineStr">
        <is>
          <t>MUNKEDAL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46273</v>
      </c>
      <c r="F142" t="inlineStr">
        <is>
          <t>VÄSTRA GÖTALANDS LÄN</t>
        </is>
      </c>
      <c r="G142" t="inlineStr">
        <is>
          <t>MUNKEDAL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45348</v>
      </c>
      <c r="E143" s="1" t="n">
        <v>46273</v>
      </c>
      <c r="F143" t="inlineStr">
        <is>
          <t>VÄSTRA GÖTALANDS LÄN</t>
        </is>
      </c>
      <c r="G143" t="inlineStr">
        <is>
          <t>MUNKEDAL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46273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46273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46273</v>
      </c>
      <c r="F146" t="inlineStr">
        <is>
          <t>VÄSTRA GÖTALANDS LÄN</t>
        </is>
      </c>
      <c r="G146" t="inlineStr">
        <is>
          <t>MUNKEDAL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46273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Övriga Aktiebolag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46273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Kommuner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46273</v>
      </c>
      <c r="F149" t="inlineStr">
        <is>
          <t>VÄSTRA GÖTALANDS LÄN</t>
        </is>
      </c>
      <c r="G149" t="inlineStr">
        <is>
          <t>MUNKEDAL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45055</v>
      </c>
      <c r="E150" s="1" t="n">
        <v>46273</v>
      </c>
      <c r="F150" t="inlineStr">
        <is>
          <t>VÄSTRA GÖTALANDS LÄN</t>
        </is>
      </c>
      <c r="G150" t="inlineStr">
        <is>
          <t>MUNKEDAL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46273</v>
      </c>
      <c r="F151" t="inlineStr">
        <is>
          <t>VÄSTRA GÖTALANDS LÄN</t>
        </is>
      </c>
      <c r="G151" t="inlineStr">
        <is>
          <t>MUNKEDAL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46273</v>
      </c>
      <c r="F152" t="inlineStr">
        <is>
          <t>VÄSTRA GÖTALANDS LÄN</t>
        </is>
      </c>
      <c r="G152" t="inlineStr">
        <is>
          <t>MUNKEDAL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46273</v>
      </c>
      <c r="F153" t="inlineStr">
        <is>
          <t>VÄSTRA GÖTALANDS LÄN</t>
        </is>
      </c>
      <c r="G153" t="inlineStr">
        <is>
          <t>MUNKEDAL</t>
        </is>
      </c>
      <c r="I153" t="n">
        <v>14.1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46273</v>
      </c>
      <c r="F154" t="inlineStr">
        <is>
          <t>VÄSTRA GÖTALANDS LÄN</t>
        </is>
      </c>
      <c r="G154" t="inlineStr">
        <is>
          <t>MUNKEDAL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46273</v>
      </c>
      <c r="F155" t="inlineStr">
        <is>
          <t>VÄSTRA GÖTALANDS LÄN</t>
        </is>
      </c>
      <c r="G155" t="inlineStr">
        <is>
          <t>MUNKEDAL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46273</v>
      </c>
      <c r="F156" t="inlineStr">
        <is>
          <t>VÄSTRA GÖTALANDS LÄN</t>
        </is>
      </c>
      <c r="G156" t="inlineStr">
        <is>
          <t>MUNKEDAL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46273</v>
      </c>
      <c r="F157" t="inlineStr">
        <is>
          <t>VÄSTRA GÖTALANDS LÄN</t>
        </is>
      </c>
      <c r="G157" t="inlineStr">
        <is>
          <t>MUNKEDAL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46273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46273</v>
      </c>
      <c r="F159" t="inlineStr">
        <is>
          <t>VÄSTRA GÖTALANDS LÄN</t>
        </is>
      </c>
      <c r="G159" t="inlineStr">
        <is>
          <t>MUNKEDAL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46273</v>
      </c>
      <c r="F160" t="inlineStr">
        <is>
          <t>VÄSTRA GÖTALANDS LÄN</t>
        </is>
      </c>
      <c r="G160" t="inlineStr">
        <is>
          <t>MUNKEDAL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46273</v>
      </c>
      <c r="F161" t="inlineStr">
        <is>
          <t>VÄSTRA GÖTALANDS LÄN</t>
        </is>
      </c>
      <c r="G161" t="inlineStr">
        <is>
          <t>MUNKEDAL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46273</v>
      </c>
      <c r="F162" t="inlineStr">
        <is>
          <t>VÄSTRA GÖTALANDS LÄN</t>
        </is>
      </c>
      <c r="G162" t="inlineStr">
        <is>
          <t>MUNKEDAL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46273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46273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46273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46273</v>
      </c>
      <c r="F166" t="inlineStr">
        <is>
          <t>VÄSTRA GÖTALANDS LÄN</t>
        </is>
      </c>
      <c r="G166" t="inlineStr">
        <is>
          <t>MUNKEDAL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46273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46273</v>
      </c>
      <c r="F168" t="inlineStr">
        <is>
          <t>VÄSTRA GÖTALANDS LÄN</t>
        </is>
      </c>
      <c r="G168" t="inlineStr">
        <is>
          <t>MUNKEDAL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46273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Naturvårdsverket</t>
        </is>
      </c>
      <c r="I169" t="n">
        <v>15.8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45769</v>
      </c>
      <c r="E170" s="1" t="n">
        <v>46273</v>
      </c>
      <c r="F170" t="inlineStr">
        <is>
          <t>VÄSTRA GÖTALANDS LÄN</t>
        </is>
      </c>
      <c r="G170" t="inlineStr">
        <is>
          <t>MUNKEDAL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30555-2023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46273</v>
      </c>
      <c r="F171" t="inlineStr">
        <is>
          <t>VÄSTRA GÖTALANDS LÄN</t>
        </is>
      </c>
      <c r="G171" t="inlineStr">
        <is>
          <t>MUNKEDAL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67233-2021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44523</v>
      </c>
      <c r="E172" s="1" t="n">
        <v>46273</v>
      </c>
      <c r="F172" t="inlineStr">
        <is>
          <t>VÄSTRA GÖTALANDS LÄN</t>
        </is>
      </c>
      <c r="G172" t="inlineStr">
        <is>
          <t>MUNKEDAL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46273</v>
      </c>
      <c r="F173" t="inlineStr">
        <is>
          <t>VÄSTRA GÖTALANDS LÄN</t>
        </is>
      </c>
      <c r="G173" t="inlineStr">
        <is>
          <t>MUNKEDAL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44588</v>
      </c>
      <c r="E174" s="1" t="n">
        <v>46273</v>
      </c>
      <c r="F174" t="inlineStr">
        <is>
          <t>VÄSTRA GÖTALANDS LÄN</t>
        </is>
      </c>
      <c r="G174" t="inlineStr">
        <is>
          <t>MUNKEDAL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46273</v>
      </c>
      <c r="F175" t="inlineStr">
        <is>
          <t>VÄSTRA GÖTALANDS LÄN</t>
        </is>
      </c>
      <c r="G175" t="inlineStr">
        <is>
          <t>MUNKEDAL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46160</v>
      </c>
      <c r="E176" s="1" t="n">
        <v>46273</v>
      </c>
      <c r="F176" t="inlineStr">
        <is>
          <t>VÄSTRA GÖTALANDS LÄN</t>
        </is>
      </c>
      <c r="G176" t="inlineStr">
        <is>
          <t>MUNKEDAL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46273</v>
      </c>
      <c r="F177" t="inlineStr">
        <is>
          <t>VÄSTRA GÖTALANDS LÄN</t>
        </is>
      </c>
      <c r="G177" t="inlineStr">
        <is>
          <t>MUNKEDAL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46273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46273</v>
      </c>
      <c r="F179" t="inlineStr">
        <is>
          <t>VÄSTRA GÖTALANDS LÄN</t>
        </is>
      </c>
      <c r="G179" t="inlineStr">
        <is>
          <t>MUNKEDAL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46273</v>
      </c>
      <c r="F180" t="inlineStr">
        <is>
          <t>VÄSTRA GÖTALANDS LÄN</t>
        </is>
      </c>
      <c r="G180" t="inlineStr">
        <is>
          <t>MUNKEDAL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46273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statliga verk och myndigheter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46273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46167</v>
      </c>
      <c r="E183" s="1" t="n">
        <v>46273</v>
      </c>
      <c r="F183" t="inlineStr">
        <is>
          <t>VÄSTRA GÖTALANDS LÄN</t>
        </is>
      </c>
      <c r="G183" t="inlineStr">
        <is>
          <t>MUNKEDAL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46167</v>
      </c>
      <c r="E184" s="1" t="n">
        <v>46273</v>
      </c>
      <c r="F184" t="inlineStr">
        <is>
          <t>VÄSTRA GÖTALANDS LÄN</t>
        </is>
      </c>
      <c r="G184" t="inlineStr">
        <is>
          <t>MUNKEDAL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46273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Kyrkan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46273</v>
      </c>
      <c r="F186" t="inlineStr">
        <is>
          <t>VÄSTRA GÖTALANDS LÄN</t>
        </is>
      </c>
      <c r="G186" t="inlineStr">
        <is>
          <t>MUNKEDAL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46273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46273</v>
      </c>
      <c r="F188" t="inlineStr">
        <is>
          <t>VÄSTRA GÖTALANDS LÄN</t>
        </is>
      </c>
      <c r="G188" t="inlineStr">
        <is>
          <t>MUNKEDAL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46273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46273</v>
      </c>
      <c r="F190" t="inlineStr">
        <is>
          <t>VÄSTRA GÖTALANDS LÄN</t>
        </is>
      </c>
      <c r="G190" t="inlineStr">
        <is>
          <t>MUNKEDAL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64879-2023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45282</v>
      </c>
      <c r="E191" s="1" t="n">
        <v>46273</v>
      </c>
      <c r="F191" t="inlineStr">
        <is>
          <t>VÄSTRA GÖTALANDS LÄN</t>
        </is>
      </c>
      <c r="G191" t="inlineStr">
        <is>
          <t>MUNKEDAL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46273</v>
      </c>
      <c r="F192" t="inlineStr">
        <is>
          <t>VÄSTRA GÖTALANDS LÄN</t>
        </is>
      </c>
      <c r="G192" t="inlineStr">
        <is>
          <t>MUNKEDAL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46273</v>
      </c>
      <c r="F193" t="inlineStr">
        <is>
          <t>VÄSTRA GÖTALANDS LÄN</t>
        </is>
      </c>
      <c r="G193" t="inlineStr">
        <is>
          <t>MUNKEDAL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46273</v>
      </c>
      <c r="F194" t="inlineStr">
        <is>
          <t>VÄSTRA GÖTALANDS LÄN</t>
        </is>
      </c>
      <c r="G194" t="inlineStr">
        <is>
          <t>MUNKEDAL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46273</v>
      </c>
      <c r="F195" t="inlineStr">
        <is>
          <t>VÄSTRA GÖTALANDS LÄN</t>
        </is>
      </c>
      <c r="G195" t="inlineStr">
        <is>
          <t>MUNKEDAL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46273</v>
      </c>
      <c r="F196" t="inlineStr">
        <is>
          <t>VÄSTRA GÖTALANDS LÄN</t>
        </is>
      </c>
      <c r="G196" t="inlineStr">
        <is>
          <t>MUNKEDAL</t>
        </is>
      </c>
      <c r="I196" t="n">
        <v>16.3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46273</v>
      </c>
      <c r="F197" t="inlineStr">
        <is>
          <t>VÄSTRA GÖTALANDS LÄN</t>
        </is>
      </c>
      <c r="G197" t="inlineStr">
        <is>
          <t>MUNKEDAL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46273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Kyrkan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46273</v>
      </c>
      <c r="F199" t="inlineStr">
        <is>
          <t>VÄSTRA GÖTALANDS LÄN</t>
        </is>
      </c>
      <c r="G199" t="inlineStr">
        <is>
          <t>MUNKEDAL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35685-2024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46273</v>
      </c>
      <c r="F200" t="inlineStr">
        <is>
          <t>VÄSTRA GÖTALANDS LÄN</t>
        </is>
      </c>
      <c r="G200" t="inlineStr">
        <is>
          <t>MUNKEDAL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44481</v>
      </c>
      <c r="E201" s="1" t="n">
        <v>46273</v>
      </c>
      <c r="F201" t="inlineStr">
        <is>
          <t>VÄSTRA GÖTALANDS LÄN</t>
        </is>
      </c>
      <c r="G201" t="inlineStr">
        <is>
          <t>MUNKEDAL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46273</v>
      </c>
      <c r="F202" t="inlineStr">
        <is>
          <t>VÄSTRA GÖTALANDS LÄN</t>
        </is>
      </c>
      <c r="G202" t="inlineStr">
        <is>
          <t>MUNKEDAL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59150-2022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44897</v>
      </c>
      <c r="E203" s="1" t="n">
        <v>46273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Kyrkan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45127</v>
      </c>
      <c r="E204" s="1" t="n">
        <v>46273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46273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45614</v>
      </c>
      <c r="E206" s="1" t="n">
        <v>46273</v>
      </c>
      <c r="F206" t="inlineStr">
        <is>
          <t>VÄSTRA GÖTALANDS LÄN</t>
        </is>
      </c>
      <c r="G206" t="inlineStr">
        <is>
          <t>MUNKEDAL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46273</v>
      </c>
      <c r="F207" t="inlineStr">
        <is>
          <t>VÄSTRA GÖTALANDS LÄN</t>
        </is>
      </c>
      <c r="G207" t="inlineStr">
        <is>
          <t>MUNKEDAL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46273</v>
      </c>
      <c r="F208" t="inlineStr">
        <is>
          <t>VÄSTRA GÖTALANDS LÄN</t>
        </is>
      </c>
      <c r="G208" t="inlineStr">
        <is>
          <t>MUNKEDAL</t>
        </is>
      </c>
      <c r="I208" t="n">
        <v>17.5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46273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46273</v>
      </c>
      <c r="F210" t="inlineStr">
        <is>
          <t>VÄSTRA GÖTALANDS LÄN</t>
        </is>
      </c>
      <c r="G210" t="inlineStr">
        <is>
          <t>MUNKEDAL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46273</v>
      </c>
      <c r="F211" t="inlineStr">
        <is>
          <t>VÄSTRA GÖTALANDS LÄN</t>
        </is>
      </c>
      <c r="G211" t="inlineStr">
        <is>
          <t>MUNKEDAL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46002</v>
      </c>
      <c r="E212" s="1" t="n">
        <v>46273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46273</v>
      </c>
      <c r="F213" t="inlineStr">
        <is>
          <t>VÄSTRA GÖTALANDS LÄN</t>
        </is>
      </c>
      <c r="G213" t="inlineStr">
        <is>
          <t>MUNKEDAL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46273</v>
      </c>
      <c r="F214" t="inlineStr">
        <is>
          <t>VÄSTRA GÖTALANDS LÄN</t>
        </is>
      </c>
      <c r="G214" t="inlineStr">
        <is>
          <t>MUNKEDAL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58066-2021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46273</v>
      </c>
      <c r="F215" t="inlineStr">
        <is>
          <t>VÄSTRA GÖTALANDS LÄN</t>
        </is>
      </c>
      <c r="G215" t="inlineStr">
        <is>
          <t>MUNKEDAL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46273</v>
      </c>
      <c r="F216" t="inlineStr">
        <is>
          <t>VÄSTRA GÖTALANDS LÄN</t>
        </is>
      </c>
      <c r="G216" t="inlineStr">
        <is>
          <t>MUNKEDAL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45640</v>
      </c>
      <c r="E217" s="1" t="n">
        <v>46273</v>
      </c>
      <c r="F217" t="inlineStr">
        <is>
          <t>VÄSTRA GÖTALANDS LÄN</t>
        </is>
      </c>
      <c r="G217" t="inlineStr">
        <is>
          <t>MUNKEDAL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44749</v>
      </c>
      <c r="E218" s="1" t="n">
        <v>46273</v>
      </c>
      <c r="F218" t="inlineStr">
        <is>
          <t>VÄSTRA GÖTALANDS LÄN</t>
        </is>
      </c>
      <c r="G218" t="inlineStr">
        <is>
          <t>MUNKEDAL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44755</v>
      </c>
      <c r="E219" s="1" t="n">
        <v>46273</v>
      </c>
      <c r="F219" t="inlineStr">
        <is>
          <t>VÄSTRA GÖTALANDS LÄN</t>
        </is>
      </c>
      <c r="G219" t="inlineStr">
        <is>
          <t>MUNKEDAL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46273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45575</v>
      </c>
      <c r="E221" s="1" t="n">
        <v>46273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Naturvårdsverket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46273</v>
      </c>
      <c r="F222" t="inlineStr">
        <is>
          <t>VÄSTRA GÖTALANDS LÄN</t>
        </is>
      </c>
      <c r="G222" t="inlineStr">
        <is>
          <t>MUNKEDAL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46273</v>
      </c>
      <c r="F223" t="inlineStr">
        <is>
          <t>VÄSTRA GÖTALANDS LÄN</t>
        </is>
      </c>
      <c r="G223" t="inlineStr">
        <is>
          <t>MUNKEDAL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45596</v>
      </c>
      <c r="E224" s="1" t="n">
        <v>46273</v>
      </c>
      <c r="F224" t="inlineStr">
        <is>
          <t>VÄSTRA GÖTALANDS LÄN</t>
        </is>
      </c>
      <c r="G224" t="inlineStr">
        <is>
          <t>MUNKEDAL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46022</v>
      </c>
      <c r="E225" s="1" t="n">
        <v>46273</v>
      </c>
      <c r="F225" t="inlineStr">
        <is>
          <t>VÄSTRA GÖTALANDS LÄN</t>
        </is>
      </c>
      <c r="G225" t="inlineStr">
        <is>
          <t>MUNKEDAL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46022</v>
      </c>
      <c r="E226" s="1" t="n">
        <v>46273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46273</v>
      </c>
      <c r="F227" t="inlineStr">
        <is>
          <t>VÄSTRA GÖTALANDS LÄN</t>
        </is>
      </c>
      <c r="G227" t="inlineStr">
        <is>
          <t>MUNKEDAL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46273</v>
      </c>
      <c r="F228" t="inlineStr">
        <is>
          <t>VÄSTRA GÖTALANDS LÄN</t>
        </is>
      </c>
      <c r="G228" t="inlineStr">
        <is>
          <t>MUNKEDAL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46273</v>
      </c>
      <c r="F229" t="inlineStr">
        <is>
          <t>VÄSTRA GÖTALANDS LÄN</t>
        </is>
      </c>
      <c r="G229" t="inlineStr">
        <is>
          <t>MUNKEDAL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46273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45478</v>
      </c>
      <c r="E231" s="1" t="n">
        <v>46273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46273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46035</v>
      </c>
      <c r="E233" s="1" t="n">
        <v>46273</v>
      </c>
      <c r="F233" t="inlineStr">
        <is>
          <t>VÄSTRA GÖTALANDS LÄN</t>
        </is>
      </c>
      <c r="G233" t="inlineStr">
        <is>
          <t>MUNKEDAL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46273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45325</v>
      </c>
      <c r="E235" s="1" t="n">
        <v>46273</v>
      </c>
      <c r="F235" t="inlineStr">
        <is>
          <t>VÄSTRA GÖTALANDS LÄN</t>
        </is>
      </c>
      <c r="G235" t="inlineStr">
        <is>
          <t>MUNKEDAL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46273</v>
      </c>
      <c r="F236" t="inlineStr">
        <is>
          <t>VÄSTRA GÖTALANDS LÄN</t>
        </is>
      </c>
      <c r="G236" t="inlineStr">
        <is>
          <t>MUNKEDAL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46273</v>
      </c>
      <c r="F237" t="inlineStr">
        <is>
          <t>VÄSTRA GÖTALANDS LÄN</t>
        </is>
      </c>
      <c r="G237" t="inlineStr">
        <is>
          <t>MUNKEDAL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46273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46273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46273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46273</v>
      </c>
      <c r="F241" t="inlineStr">
        <is>
          <t>VÄSTRA GÖTALANDS LÄN</t>
        </is>
      </c>
      <c r="G241" t="inlineStr">
        <is>
          <t>MUNKEDAL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46047</v>
      </c>
      <c r="E242" s="1" t="n">
        <v>46273</v>
      </c>
      <c r="F242" t="inlineStr">
        <is>
          <t>VÄSTRA GÖTALANDS LÄN</t>
        </is>
      </c>
      <c r="G242" t="inlineStr">
        <is>
          <t>MUNKEDAL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46244</v>
      </c>
      <c r="E243" s="1" t="n">
        <v>46273</v>
      </c>
      <c r="F243" t="inlineStr">
        <is>
          <t>VÄSTRA GÖTALANDS LÄN</t>
        </is>
      </c>
      <c r="G243" t="inlineStr">
        <is>
          <t>MUNKEDAL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49912-2023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45214</v>
      </c>
      <c r="E244" s="1" t="n">
        <v>46273</v>
      </c>
      <c r="F244" t="inlineStr">
        <is>
          <t>VÄSTRA GÖTALANDS LÄN</t>
        </is>
      </c>
      <c r="G244" t="inlineStr">
        <is>
          <t>MUNKEDAL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46273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46273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Kyrkan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46273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46050</v>
      </c>
      <c r="E248" s="1" t="n">
        <v>46273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46273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46273</v>
      </c>
      <c r="F250" t="inlineStr">
        <is>
          <t>VÄSTRA GÖTALANDS LÄN</t>
        </is>
      </c>
      <c r="G250" t="inlineStr">
        <is>
          <t>MUNKEDAL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46273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46273</v>
      </c>
      <c r="F252" t="inlineStr">
        <is>
          <t>VÄSTRA GÖTALANDS LÄN</t>
        </is>
      </c>
      <c r="G252" t="inlineStr">
        <is>
          <t>MUNKEDAL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46273</v>
      </c>
      <c r="F253" t="inlineStr">
        <is>
          <t>VÄSTRA GÖTALANDS LÄN</t>
        </is>
      </c>
      <c r="G253" t="inlineStr">
        <is>
          <t>MUNKEDAL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18278-2025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45762</v>
      </c>
      <c r="E254" s="1" t="n">
        <v>46273</v>
      </c>
      <c r="F254" t="inlineStr">
        <is>
          <t>VÄSTRA GÖTALANDS LÄN</t>
        </is>
      </c>
      <c r="G254" t="inlineStr">
        <is>
          <t>MUNKEDAL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46273</v>
      </c>
      <c r="F255" t="inlineStr">
        <is>
          <t>VÄSTRA GÖTALANDS LÄN</t>
        </is>
      </c>
      <c r="G255" t="inlineStr">
        <is>
          <t>MUNKEDAL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46273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46273</v>
      </c>
      <c r="F257" t="inlineStr">
        <is>
          <t>VÄSTRA GÖTALANDS LÄN</t>
        </is>
      </c>
      <c r="G257" t="inlineStr">
        <is>
          <t>MUNKEDAL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46273</v>
      </c>
      <c r="F258" t="inlineStr">
        <is>
          <t>VÄSTRA GÖTALANDS LÄN</t>
        </is>
      </c>
      <c r="G258" t="inlineStr">
        <is>
          <t>MUNKEDAL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45155</v>
      </c>
      <c r="E259" s="1" t="n">
        <v>46273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46247</v>
      </c>
      <c r="E260" s="1" t="n">
        <v>46273</v>
      </c>
      <c r="F260" t="inlineStr">
        <is>
          <t>VÄSTRA GÖTALANDS LÄN</t>
        </is>
      </c>
      <c r="G260" t="inlineStr">
        <is>
          <t>MUNKEDAL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46247</v>
      </c>
      <c r="E261" s="1" t="n">
        <v>46273</v>
      </c>
      <c r="F261" t="inlineStr">
        <is>
          <t>VÄSTRA GÖTALANDS LÄN</t>
        </is>
      </c>
      <c r="G261" t="inlineStr">
        <is>
          <t>MUNKEDAL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45153</v>
      </c>
      <c r="E262" s="1" t="n">
        <v>46273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46273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46273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46273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46209</v>
      </c>
      <c r="E266" s="1" t="n">
        <v>46273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46209</v>
      </c>
      <c r="E267" s="1" t="n">
        <v>46273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46273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46273</v>
      </c>
      <c r="F269" t="inlineStr">
        <is>
          <t>VÄSTRA GÖTALANDS LÄN</t>
        </is>
      </c>
      <c r="G269" t="inlineStr">
        <is>
          <t>MUNKEDAL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46209</v>
      </c>
      <c r="E270" s="1" t="n">
        <v>46273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34288-2026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46253</v>
      </c>
      <c r="E271" s="1" t="n">
        <v>46273</v>
      </c>
      <c r="F271" t="inlineStr">
        <is>
          <t>VÄSTRA GÖTALANDS LÄN</t>
        </is>
      </c>
      <c r="G271" t="inlineStr">
        <is>
          <t>MUNKEDAL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46253</v>
      </c>
      <c r="E272" s="1" t="n">
        <v>46273</v>
      </c>
      <c r="F272" t="inlineStr">
        <is>
          <t>VÄSTRA GÖTALANDS LÄN</t>
        </is>
      </c>
      <c r="G272" t="inlineStr">
        <is>
          <t>MUNKEDAL</t>
        </is>
      </c>
      <c r="I272" t="n">
        <v>11.6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46253</v>
      </c>
      <c r="E273" s="1" t="n">
        <v>46273</v>
      </c>
      <c r="F273" t="inlineStr">
        <is>
          <t>VÄSTRA GÖTALANDS LÄN</t>
        </is>
      </c>
      <c r="G273" t="inlineStr">
        <is>
          <t>MUNKEDAL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46253</v>
      </c>
      <c r="E274" s="1" t="n">
        <v>46273</v>
      </c>
      <c r="F274" t="inlineStr">
        <is>
          <t>VÄSTRA GÖTALANDS LÄN</t>
        </is>
      </c>
      <c r="G274" t="inlineStr">
        <is>
          <t>MUNKEDAL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46254</v>
      </c>
      <c r="E275" s="1" t="n">
        <v>46273</v>
      </c>
      <c r="F275" t="inlineStr">
        <is>
          <t>VÄSTRA GÖTALANDS LÄN</t>
        </is>
      </c>
      <c r="G275" t="inlineStr">
        <is>
          <t>MUNKEDAL</t>
        </is>
      </c>
      <c r="I275" t="n">
        <v>11.6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45750</v>
      </c>
      <c r="E276" s="1" t="n">
        <v>46273</v>
      </c>
      <c r="F276" t="inlineStr">
        <is>
          <t>VÄSTRA GÖTALANDS LÄN</t>
        </is>
      </c>
      <c r="G276" t="inlineStr">
        <is>
          <t>MUNKEDAL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45314</v>
      </c>
      <c r="E277" s="1" t="n">
        <v>46273</v>
      </c>
      <c r="F277" t="inlineStr">
        <is>
          <t>VÄSTRA GÖTALANDS LÄN</t>
        </is>
      </c>
      <c r="G277" t="inlineStr">
        <is>
          <t>MUNKEDAL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46273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44715</v>
      </c>
      <c r="E279" s="1" t="n">
        <v>46273</v>
      </c>
      <c r="F279" t="inlineStr">
        <is>
          <t>VÄSTRA GÖTALANDS LÄN</t>
        </is>
      </c>
      <c r="G279" t="inlineStr">
        <is>
          <t>MUNKEDAL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45342</v>
      </c>
      <c r="E280" s="1" t="n">
        <v>46273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46273</v>
      </c>
      <c r="F281" t="inlineStr">
        <is>
          <t>VÄSTRA GÖTALANDS LÄN</t>
        </is>
      </c>
      <c r="G281" t="inlineStr">
        <is>
          <t>MUNKEDAL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46273</v>
      </c>
      <c r="F282" t="inlineStr">
        <is>
          <t>VÄSTRA GÖTALANDS LÄN</t>
        </is>
      </c>
      <c r="G282" t="inlineStr">
        <is>
          <t>MUNKEDAL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45293</v>
      </c>
      <c r="E283" s="1" t="n">
        <v>46273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46253</v>
      </c>
      <c r="E284" s="1" t="n">
        <v>46273</v>
      </c>
      <c r="F284" t="inlineStr">
        <is>
          <t>VÄSTRA GÖTALANDS LÄN</t>
        </is>
      </c>
      <c r="G284" t="inlineStr">
        <is>
          <t>MUNKEDAL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46273</v>
      </c>
      <c r="F285" t="inlineStr">
        <is>
          <t>VÄSTRA GÖTALANDS LÄN</t>
        </is>
      </c>
      <c r="G285" t="inlineStr">
        <is>
          <t>MUNKEDAL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46273</v>
      </c>
      <c r="F286" t="inlineStr">
        <is>
          <t>VÄSTRA GÖTALANDS LÄN</t>
        </is>
      </c>
      <c r="G286" t="inlineStr">
        <is>
          <t>MUNKEDAL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46273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25.2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46273</v>
      </c>
      <c r="F288" t="inlineStr">
        <is>
          <t>VÄSTRA GÖTALANDS LÄN</t>
        </is>
      </c>
      <c r="G288" t="inlineStr">
        <is>
          <t>MUNKEDAL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46273</v>
      </c>
      <c r="F289" t="inlineStr">
        <is>
          <t>VÄSTRA GÖTALANDS LÄN</t>
        </is>
      </c>
      <c r="G289" t="inlineStr">
        <is>
          <t>MUNKEDAL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21125-2022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44704</v>
      </c>
      <c r="E290" s="1" t="n">
        <v>46273</v>
      </c>
      <c r="F290" t="inlineStr">
        <is>
          <t>VÄSTRA GÖTALANDS LÄN</t>
        </is>
      </c>
      <c r="G290" t="inlineStr">
        <is>
          <t>MUNKEDAL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46273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45296</v>
      </c>
      <c r="E292" s="1" t="n">
        <v>46273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Kyrkan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46273</v>
      </c>
      <c r="F293" t="inlineStr">
        <is>
          <t>VÄSTRA GÖTALANDS LÄN</t>
        </is>
      </c>
      <c r="G293" t="inlineStr">
        <is>
          <t>MUNKEDAL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46273</v>
      </c>
      <c r="F294" t="inlineStr">
        <is>
          <t>VÄSTRA GÖTALANDS LÄN</t>
        </is>
      </c>
      <c r="G294" t="inlineStr">
        <is>
          <t>MUNKEDAL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46217</v>
      </c>
      <c r="E295" s="1" t="n">
        <v>46273</v>
      </c>
      <c r="F295" t="inlineStr">
        <is>
          <t>VÄSTRA GÖTALANDS LÄN</t>
        </is>
      </c>
      <c r="G295" t="inlineStr">
        <is>
          <t>MUNKEDAL</t>
        </is>
      </c>
      <c r="I295" t="n">
        <v>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46217</v>
      </c>
      <c r="E296" s="1" t="n">
        <v>46273</v>
      </c>
      <c r="F296" t="inlineStr">
        <is>
          <t>VÄSTRA GÖTALANDS LÄN</t>
        </is>
      </c>
      <c r="G296" t="inlineStr">
        <is>
          <t>MUNKEDAL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51409-2022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44866</v>
      </c>
      <c r="E297" s="1" t="n">
        <v>46273</v>
      </c>
      <c r="F297" t="inlineStr">
        <is>
          <t>VÄSTRA GÖTALANDS LÄN</t>
        </is>
      </c>
      <c r="G297" t="inlineStr">
        <is>
          <t>MUNKEDAL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45470</v>
      </c>
      <c r="E298" s="1" t="n">
        <v>46273</v>
      </c>
      <c r="F298" t="inlineStr">
        <is>
          <t>VÄSTRA GÖTALANDS LÄN</t>
        </is>
      </c>
      <c r="G298" t="inlineStr">
        <is>
          <t>MUNKEDAL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46273</v>
      </c>
      <c r="F299" t="inlineStr">
        <is>
          <t>VÄSTRA GÖTALANDS LÄN</t>
        </is>
      </c>
      <c r="G299" t="inlineStr">
        <is>
          <t>MUNKEDAL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46273</v>
      </c>
      <c r="F300" t="inlineStr">
        <is>
          <t>VÄSTRA GÖTALANDS LÄN</t>
        </is>
      </c>
      <c r="G300" t="inlineStr">
        <is>
          <t>MUNKEDAL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46273</v>
      </c>
      <c r="F301" t="inlineStr">
        <is>
          <t>VÄSTRA GÖTALANDS LÄN</t>
        </is>
      </c>
      <c r="G301" t="inlineStr">
        <is>
          <t>MUNKEDAL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46273</v>
      </c>
      <c r="F302" t="inlineStr">
        <is>
          <t>VÄSTRA GÖTALANDS LÄN</t>
        </is>
      </c>
      <c r="G302" t="inlineStr">
        <is>
          <t>MUNKEDAL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46273</v>
      </c>
      <c r="F303" t="inlineStr">
        <is>
          <t>VÄSTRA GÖTALANDS LÄN</t>
        </is>
      </c>
      <c r="G303" t="inlineStr">
        <is>
          <t>MUNKEDAL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46273</v>
      </c>
      <c r="F304" t="inlineStr">
        <is>
          <t>VÄSTRA GÖTALANDS LÄN</t>
        </is>
      </c>
      <c r="G304" t="inlineStr">
        <is>
          <t>MUNKEDAL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45619</v>
      </c>
      <c r="E305" s="1" t="n">
        <v>46273</v>
      </c>
      <c r="F305" t="inlineStr">
        <is>
          <t>VÄSTRA GÖTALANDS LÄN</t>
        </is>
      </c>
      <c r="G305" t="inlineStr">
        <is>
          <t>MUNKEDAL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45231</v>
      </c>
      <c r="E306" s="1" t="n">
        <v>46273</v>
      </c>
      <c r="F306" t="inlineStr">
        <is>
          <t>VÄSTRA GÖTALANDS LÄN</t>
        </is>
      </c>
      <c r="G306" t="inlineStr">
        <is>
          <t>MUNKEDAL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45188</v>
      </c>
      <c r="E307" s="1" t="n">
        <v>46273</v>
      </c>
      <c r="F307" t="inlineStr">
        <is>
          <t>VÄSTRA GÖTALANDS LÄN</t>
        </is>
      </c>
      <c r="G307" t="inlineStr">
        <is>
          <t>MUNKEDAL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45175</v>
      </c>
      <c r="E308" s="1" t="n">
        <v>46273</v>
      </c>
      <c r="F308" t="inlineStr">
        <is>
          <t>VÄSTRA GÖTALANDS LÄN</t>
        </is>
      </c>
      <c r="G308" t="inlineStr">
        <is>
          <t>MUNKEDAL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44672</v>
      </c>
      <c r="E309" s="1" t="n">
        <v>46273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46273</v>
      </c>
      <c r="F310" t="inlineStr">
        <is>
          <t>VÄSTRA GÖTALANDS LÄN</t>
        </is>
      </c>
      <c r="G310" t="inlineStr">
        <is>
          <t>MUNKEDAL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46273</v>
      </c>
      <c r="F311" t="inlineStr">
        <is>
          <t>VÄSTRA GÖTALANDS LÄN</t>
        </is>
      </c>
      <c r="G311" t="inlineStr">
        <is>
          <t>MUNKEDAL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46273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46131</v>
      </c>
      <c r="E313" s="1" t="n">
        <v>46273</v>
      </c>
      <c r="F313" t="inlineStr">
        <is>
          <t>VÄSTRA GÖTALANDS LÄN</t>
        </is>
      </c>
      <c r="G313" t="inlineStr">
        <is>
          <t>MUNKEDAL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46273</v>
      </c>
      <c r="F314" t="inlineStr">
        <is>
          <t>VÄSTRA GÖTALANDS LÄN</t>
        </is>
      </c>
      <c r="G314" t="inlineStr">
        <is>
          <t>MUNKEDAL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46273</v>
      </c>
      <c r="F315" t="inlineStr">
        <is>
          <t>VÄSTRA GÖTALANDS LÄN</t>
        </is>
      </c>
      <c r="G315" t="inlineStr">
        <is>
          <t>MUNKEDAL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46134</v>
      </c>
      <c r="E316" s="1" t="n">
        <v>46273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18280-2026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46273</v>
      </c>
      <c r="F317" t="inlineStr">
        <is>
          <t>VÄSTRA GÖTALANDS LÄN</t>
        </is>
      </c>
      <c r="G317" t="inlineStr">
        <is>
          <t>MUNKEDAL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45400</v>
      </c>
      <c r="E318" s="1" t="n">
        <v>46273</v>
      </c>
      <c r="F318" t="inlineStr">
        <is>
          <t>VÄSTRA GÖTALANDS LÄN</t>
        </is>
      </c>
      <c r="G318" t="inlineStr">
        <is>
          <t>MUNKEDAL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46272</v>
      </c>
      <c r="E319" s="1" t="n">
        <v>46273</v>
      </c>
      <c r="F319" t="inlineStr">
        <is>
          <t>VÄSTRA GÖTALANDS LÄN</t>
        </is>
      </c>
      <c r="G319" t="inlineStr">
        <is>
          <t>MUNKEDAL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44606</v>
      </c>
      <c r="E320" s="1" t="n">
        <v>46273</v>
      </c>
      <c r="F320" t="inlineStr">
        <is>
          <t>VÄSTRA GÖTALANDS LÄN</t>
        </is>
      </c>
      <c r="G320" t="inlineStr">
        <is>
          <t>MUNKEDAL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45489</v>
      </c>
      <c r="E321" s="1" t="n">
        <v>46273</v>
      </c>
      <c r="F321" t="inlineStr">
        <is>
          <t>VÄSTRA GÖTALANDS LÄN</t>
        </is>
      </c>
      <c r="G321" t="inlineStr">
        <is>
          <t>MUNKEDAL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46273</v>
      </c>
      <c r="F322" t="inlineStr">
        <is>
          <t>VÄSTRA GÖTALANDS LÄN</t>
        </is>
      </c>
      <c r="G322" t="inlineStr">
        <is>
          <t>MUNKEDAL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45084</v>
      </c>
      <c r="E323" s="1" t="n">
        <v>46273</v>
      </c>
      <c r="F323" t="inlineStr">
        <is>
          <t>VÄSTRA GÖTALANDS LÄN</t>
        </is>
      </c>
      <c r="G323" t="inlineStr">
        <is>
          <t>MUNKEDAL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46273</v>
      </c>
      <c r="F324" t="inlineStr">
        <is>
          <t>VÄSTRA GÖTALANDS LÄN</t>
        </is>
      </c>
      <c r="G324" t="inlineStr">
        <is>
          <t>MUNKEDAL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38544-2024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46273</v>
      </c>
      <c r="F325" t="inlineStr">
        <is>
          <t>VÄSTRA GÖTALANDS LÄN</t>
        </is>
      </c>
      <c r="G325" t="inlineStr">
        <is>
          <t>MUNKEDAL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45022</v>
      </c>
      <c r="E326" s="1" t="n">
        <v>46273</v>
      </c>
      <c r="F326" t="inlineStr">
        <is>
          <t>VÄSTRA GÖTALANDS LÄN</t>
        </is>
      </c>
      <c r="G326" t="inlineStr">
        <is>
          <t>MUNKEDAL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44861</v>
      </c>
      <c r="E327" s="1" t="n">
        <v>46273</v>
      </c>
      <c r="F327" t="inlineStr">
        <is>
          <t>VÄSTRA GÖTALANDS LÄN</t>
        </is>
      </c>
      <c r="G327" t="inlineStr">
        <is>
          <t>MUNKEDAL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44937</v>
      </c>
      <c r="E328" s="1" t="n">
        <v>46273</v>
      </c>
      <c r="F328" t="inlineStr">
        <is>
          <t>VÄSTRA GÖTALANDS LÄN</t>
        </is>
      </c>
      <c r="G328" t="inlineStr">
        <is>
          <t>MUNKEDAL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47378-2021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44447</v>
      </c>
      <c r="E329" s="1" t="n">
        <v>46273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21.7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44580</v>
      </c>
      <c r="E330" s="1" t="n">
        <v>46273</v>
      </c>
      <c r="F330" t="inlineStr">
        <is>
          <t>VÄSTRA GÖTALANDS LÄN</t>
        </is>
      </c>
      <c r="G330" t="inlineStr">
        <is>
          <t>MUNKEDAL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46273</v>
      </c>
      <c r="F331" t="inlineStr">
        <is>
          <t>VÄSTRA GÖTALANDS LÄN</t>
        </is>
      </c>
      <c r="G331" t="inlineStr">
        <is>
          <t>MUNKEDAL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45049</v>
      </c>
      <c r="E332" s="1" t="n">
        <v>46273</v>
      </c>
      <c r="F332" t="inlineStr">
        <is>
          <t>VÄSTRA GÖTALANDS LÄN</t>
        </is>
      </c>
      <c r="G332" t="inlineStr">
        <is>
          <t>MUNKEDAL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49946-2021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44454</v>
      </c>
      <c r="E333" s="1" t="n">
        <v>46273</v>
      </c>
      <c r="F333" t="inlineStr">
        <is>
          <t>VÄSTRA GÖTALANDS LÄN</t>
        </is>
      </c>
      <c r="G333" t="inlineStr">
        <is>
          <t>MUNKEDAL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45070</v>
      </c>
      <c r="E334" s="1" t="n">
        <v>46273</v>
      </c>
      <c r="F334" t="inlineStr">
        <is>
          <t>VÄSTRA GÖTALANDS LÄN</t>
        </is>
      </c>
      <c r="G334" t="inlineStr">
        <is>
          <t>MUNKEDAL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46273</v>
      </c>
      <c r="F335" t="inlineStr">
        <is>
          <t>VÄSTRA GÖTALANDS LÄN</t>
        </is>
      </c>
      <c r="G335" t="inlineStr">
        <is>
          <t>MUNKEDAL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45076</v>
      </c>
      <c r="E336" s="1" t="n">
        <v>46273</v>
      </c>
      <c r="F336" t="inlineStr">
        <is>
          <t>VÄSTRA GÖTALANDS LÄN</t>
        </is>
      </c>
      <c r="G336" t="inlineStr">
        <is>
          <t>MUNKEDAL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45618</v>
      </c>
      <c r="E337" s="1" t="n">
        <v>46273</v>
      </c>
      <c r="F337" t="inlineStr">
        <is>
          <t>VÄSTRA GÖTALANDS LÄN</t>
        </is>
      </c>
      <c r="G337" t="inlineStr">
        <is>
          <t>MUNKEDAL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46273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Naturvårdsverket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46273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46273</v>
      </c>
      <c r="F340" t="inlineStr">
        <is>
          <t>VÄSTRA GÖTALANDS LÄN</t>
        </is>
      </c>
      <c r="G340" t="inlineStr">
        <is>
          <t>MUNKEDAL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46273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28393-2022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44747</v>
      </c>
      <c r="E342" s="1" t="n">
        <v>46273</v>
      </c>
      <c r="F342" t="inlineStr">
        <is>
          <t>VÄSTRA GÖTALANDS LÄN</t>
        </is>
      </c>
      <c r="G342" t="inlineStr">
        <is>
          <t>MUNKEDAL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45488</v>
      </c>
      <c r="E343" s="1" t="n">
        <v>46273</v>
      </c>
      <c r="F343" t="inlineStr">
        <is>
          <t>VÄSTRA GÖTALANDS LÄN</t>
        </is>
      </c>
      <c r="G343" t="inlineStr">
        <is>
          <t>MUNKEDAL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46273</v>
      </c>
      <c r="F344" t="inlineStr">
        <is>
          <t>VÄSTRA GÖTALANDS LÄN</t>
        </is>
      </c>
      <c r="G344" t="inlineStr">
        <is>
          <t>MUNKEDAL</t>
        </is>
      </c>
      <c r="I344" t="n">
        <v>20.2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45317</v>
      </c>
      <c r="E345" s="1" t="n">
        <v>46273</v>
      </c>
      <c r="F345" t="inlineStr">
        <is>
          <t>VÄSTRA GÖTALANDS LÄN</t>
        </is>
      </c>
      <c r="G345" t="inlineStr">
        <is>
          <t>MUNKEDAL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24088-2024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45456</v>
      </c>
      <c r="E346" s="1" t="n">
        <v>46273</v>
      </c>
      <c r="F346" t="inlineStr">
        <is>
          <t>VÄSTRA GÖTALANDS LÄN</t>
        </is>
      </c>
      <c r="G346" t="inlineStr">
        <is>
          <t>MUNKEDAL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46273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45488</v>
      </c>
      <c r="E348" s="1" t="n">
        <v>46273</v>
      </c>
      <c r="F348" t="inlineStr">
        <is>
          <t>VÄSTRA GÖTALANDS LÄN</t>
        </is>
      </c>
      <c r="G348" t="inlineStr">
        <is>
          <t>MUNKEDAL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46273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45761</v>
      </c>
      <c r="E350" s="1" t="n">
        <v>46273</v>
      </c>
      <c r="F350" t="inlineStr">
        <is>
          <t>VÄSTRA GÖTALANDS LÄN</t>
        </is>
      </c>
      <c r="G350" t="inlineStr">
        <is>
          <t>MUNKEDAL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46273</v>
      </c>
      <c r="F351" t="inlineStr">
        <is>
          <t>VÄSTRA GÖTALANDS LÄN</t>
        </is>
      </c>
      <c r="G351" t="inlineStr">
        <is>
          <t>MUNKEDAL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46273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46273</v>
      </c>
      <c r="F353" t="inlineStr">
        <is>
          <t>VÄSTRA GÖTALANDS LÄN</t>
        </is>
      </c>
      <c r="G353" t="inlineStr">
        <is>
          <t>MUNKEDAL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45063</v>
      </c>
      <c r="E354" s="1" t="n">
        <v>46273</v>
      </c>
      <c r="F354" t="inlineStr">
        <is>
          <t>VÄSTRA GÖTALANDS LÄN</t>
        </is>
      </c>
      <c r="G354" t="inlineStr">
        <is>
          <t>MUNKEDAL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44630</v>
      </c>
      <c r="E355" s="1" t="n">
        <v>46273</v>
      </c>
      <c r="F355" t="inlineStr">
        <is>
          <t>VÄSTRA GÖTALANDS LÄN</t>
        </is>
      </c>
      <c r="G355" t="inlineStr">
        <is>
          <t>MUNKEDAL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46273</v>
      </c>
      <c r="F356" t="inlineStr">
        <is>
          <t>VÄSTRA GÖTALANDS LÄN</t>
        </is>
      </c>
      <c r="G356" t="inlineStr">
        <is>
          <t>MUNKEDAL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45674</v>
      </c>
      <c r="E357" s="1" t="n">
        <v>46273</v>
      </c>
      <c r="F357" t="inlineStr">
        <is>
          <t>VÄSTRA GÖTALANDS LÄN</t>
        </is>
      </c>
      <c r="G357" t="inlineStr">
        <is>
          <t>MUNKEDAL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45618</v>
      </c>
      <c r="E358" s="1" t="n">
        <v>46273</v>
      </c>
      <c r="F358" t="inlineStr">
        <is>
          <t>VÄSTRA GÖTALANDS LÄN</t>
        </is>
      </c>
      <c r="G358" t="inlineStr">
        <is>
          <t>MUNKEDAL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44920</v>
      </c>
      <c r="E359" s="1" t="n">
        <v>46273</v>
      </c>
      <c r="F359" t="inlineStr">
        <is>
          <t>VÄSTRA GÖTALANDS LÄN</t>
        </is>
      </c>
      <c r="G359" t="inlineStr">
        <is>
          <t>MUNKEDAL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44920</v>
      </c>
      <c r="E360" s="1" t="n">
        <v>46273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45306</v>
      </c>
      <c r="E361" s="1" t="n">
        <v>46273</v>
      </c>
      <c r="F361" t="inlineStr">
        <is>
          <t>VÄSTRA GÖTALANDS LÄN</t>
        </is>
      </c>
      <c r="G361" t="inlineStr">
        <is>
          <t>MUNKEDAL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45684</v>
      </c>
      <c r="E362" s="1" t="n">
        <v>46273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Kommuner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45264</v>
      </c>
      <c r="E363" s="1" t="n">
        <v>46273</v>
      </c>
      <c r="F363" t="inlineStr">
        <is>
          <t>VÄSTRA GÖTALANDS LÄN</t>
        </is>
      </c>
      <c r="G363" t="inlineStr">
        <is>
          <t>MUNKEDAL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50034-2023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46273</v>
      </c>
      <c r="F364" t="inlineStr">
        <is>
          <t>VÄSTRA GÖTALANDS LÄN</t>
        </is>
      </c>
      <c r="G364" t="inlineStr">
        <is>
          <t>MUNKEDAL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45667</v>
      </c>
      <c r="E365" s="1" t="n">
        <v>46273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12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44698</v>
      </c>
      <c r="E366" s="1" t="n">
        <v>46273</v>
      </c>
      <c r="F366" t="inlineStr">
        <is>
          <t>VÄSTRA GÖTALANDS LÄN</t>
        </is>
      </c>
      <c r="G366" t="inlineStr">
        <is>
          <t>MUNKEDAL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46273</v>
      </c>
      <c r="F367" t="inlineStr">
        <is>
          <t>VÄSTRA GÖTALANDS LÄN</t>
        </is>
      </c>
      <c r="G367" t="inlineStr">
        <is>
          <t>MUNKEDAL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46273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45778</v>
      </c>
      <c r="E369" s="1" t="n">
        <v>46273</v>
      </c>
      <c r="F369" t="inlineStr">
        <is>
          <t>VÄSTRA GÖTALANDS LÄN</t>
        </is>
      </c>
      <c r="G369" t="inlineStr">
        <is>
          <t>MUNKEDAL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45778</v>
      </c>
      <c r="E370" s="1" t="n">
        <v>46273</v>
      </c>
      <c r="F370" t="inlineStr">
        <is>
          <t>VÄSTRA GÖTALANDS LÄN</t>
        </is>
      </c>
      <c r="G370" t="inlineStr">
        <is>
          <t>MUNKEDAL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45777</v>
      </c>
      <c r="E371" s="1" t="n">
        <v>46273</v>
      </c>
      <c r="F371" t="inlineStr">
        <is>
          <t>VÄSTRA GÖTALANDS LÄN</t>
        </is>
      </c>
      <c r="G371" t="inlineStr">
        <is>
          <t>MUNKEDAL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46273</v>
      </c>
      <c r="F372" t="inlineStr">
        <is>
          <t>VÄSTRA GÖTALANDS LÄN</t>
        </is>
      </c>
      <c r="G372" t="inlineStr">
        <is>
          <t>MUNKEDAL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46273</v>
      </c>
      <c r="F373" t="inlineStr">
        <is>
          <t>VÄSTRA GÖTALANDS LÄN</t>
        </is>
      </c>
      <c r="G373" t="inlineStr">
        <is>
          <t>MUNKEDAL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46273</v>
      </c>
      <c r="F374" t="inlineStr">
        <is>
          <t>VÄSTRA GÖTALANDS LÄN</t>
        </is>
      </c>
      <c r="G374" t="inlineStr">
        <is>
          <t>MUNKEDAL</t>
        </is>
      </c>
      <c r="I374" t="n">
        <v>13.8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46273</v>
      </c>
      <c r="F375" t="inlineStr">
        <is>
          <t>VÄSTRA GÖTALANDS LÄN</t>
        </is>
      </c>
      <c r="G375" t="inlineStr">
        <is>
          <t>MUNKEDAL</t>
        </is>
      </c>
      <c r="I375" t="n">
        <v>12.7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16650-2024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45408</v>
      </c>
      <c r="E376" s="1" t="n">
        <v>46273</v>
      </c>
      <c r="F376" t="inlineStr">
        <is>
          <t>VÄSTRA GÖTALANDS LÄN</t>
        </is>
      </c>
      <c r="G376" t="inlineStr">
        <is>
          <t>MUNKEDAL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46273</v>
      </c>
      <c r="F377" t="inlineStr">
        <is>
          <t>VÄSTRA GÖTALANDS LÄN</t>
        </is>
      </c>
      <c r="G377" t="inlineStr">
        <is>
          <t>MUNKEDAL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46273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9558-2025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46273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26.5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45792</v>
      </c>
      <c r="E380" s="1" t="n">
        <v>46273</v>
      </c>
      <c r="F380" t="inlineStr">
        <is>
          <t>VÄSTRA GÖTALANDS LÄN</t>
        </is>
      </c>
      <c r="G380" t="inlineStr">
        <is>
          <t>MUNKEDAL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45696</v>
      </c>
      <c r="E381" s="1" t="n">
        <v>46273</v>
      </c>
      <c r="F381" t="inlineStr">
        <is>
          <t>VÄSTRA GÖTALANDS LÄN</t>
        </is>
      </c>
      <c r="G381" t="inlineStr">
        <is>
          <t>MUNKEDAL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45797</v>
      </c>
      <c r="E382" s="1" t="n">
        <v>46273</v>
      </c>
      <c r="F382" t="inlineStr">
        <is>
          <t>VÄSTRA GÖTALANDS LÄN</t>
        </is>
      </c>
      <c r="G382" t="inlineStr">
        <is>
          <t>MUNKEDAL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46273</v>
      </c>
      <c r="F383" t="inlineStr">
        <is>
          <t>VÄSTRA GÖTALANDS LÄN</t>
        </is>
      </c>
      <c r="G383" t="inlineStr">
        <is>
          <t>MUNKEDAL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51411-2022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44866</v>
      </c>
      <c r="E384" s="1" t="n">
        <v>46273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46273</v>
      </c>
      <c r="F385" t="inlineStr">
        <is>
          <t>VÄSTRA GÖTALANDS LÄN</t>
        </is>
      </c>
      <c r="G385" t="inlineStr">
        <is>
          <t>MUNKEDAL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46273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46273</v>
      </c>
      <c r="F387" t="inlineStr">
        <is>
          <t>VÄSTRA GÖTALANDS LÄN</t>
        </is>
      </c>
      <c r="G387" t="inlineStr">
        <is>
          <t>MUNKEDAL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46273</v>
      </c>
      <c r="F388" t="inlineStr">
        <is>
          <t>VÄSTRA GÖTALANDS LÄN</t>
        </is>
      </c>
      <c r="G388" t="inlineStr">
        <is>
          <t>MUNKEDAL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19631-2022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46273</v>
      </c>
      <c r="F389" t="inlineStr">
        <is>
          <t>VÄSTRA GÖTALANDS LÄN</t>
        </is>
      </c>
      <c r="G389" t="inlineStr">
        <is>
          <t>MUNKEDAL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45625</v>
      </c>
      <c r="E390" s="1" t="n">
        <v>46273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Kyrkan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45557</v>
      </c>
      <c r="E391" s="1" t="n">
        <v>46273</v>
      </c>
      <c r="F391" t="inlineStr">
        <is>
          <t>VÄSTRA GÖTALANDS LÄN</t>
        </is>
      </c>
      <c r="G391" t="inlineStr">
        <is>
          <t>MUNKEDAL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46273</v>
      </c>
      <c r="F392" t="inlineStr">
        <is>
          <t>VÄSTRA GÖTALANDS LÄN</t>
        </is>
      </c>
      <c r="G392" t="inlineStr">
        <is>
          <t>MUNKEDAL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46273</v>
      </c>
      <c r="F393" t="inlineStr">
        <is>
          <t>VÄSTRA GÖTALANDS LÄN</t>
        </is>
      </c>
      <c r="G393" t="inlineStr">
        <is>
          <t>MUNKEDAL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30614-2025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46273</v>
      </c>
      <c r="F394" t="inlineStr">
        <is>
          <t>VÄSTRA GÖTALANDS LÄN</t>
        </is>
      </c>
      <c r="G394" t="inlineStr">
        <is>
          <t>MUNKEDAL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46273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46273</v>
      </c>
      <c r="F396" t="inlineStr">
        <is>
          <t>VÄSTRA GÖTALANDS LÄN</t>
        </is>
      </c>
      <c r="G396" t="inlineStr">
        <is>
          <t>MUNKEDAL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46273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46273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45847</v>
      </c>
      <c r="E399" s="1" t="n">
        <v>46273</v>
      </c>
      <c r="F399" t="inlineStr">
        <is>
          <t>VÄSTRA GÖTALANDS LÄN</t>
        </is>
      </c>
      <c r="G399" t="inlineStr">
        <is>
          <t>MUNKEDAL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46273</v>
      </c>
      <c r="F400" t="inlineStr">
        <is>
          <t>VÄSTRA GÖTALANDS LÄN</t>
        </is>
      </c>
      <c r="G400" t="inlineStr">
        <is>
          <t>MUNKEDAL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45755</v>
      </c>
      <c r="E401" s="1" t="n">
        <v>46273</v>
      </c>
      <c r="F401" t="inlineStr">
        <is>
          <t>VÄSTRA GÖTALANDS LÄN</t>
        </is>
      </c>
      <c r="G401" t="inlineStr">
        <is>
          <t>MUNKEDAL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46273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8561-2024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45351</v>
      </c>
      <c r="E403" s="1" t="n">
        <v>46273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45484</v>
      </c>
      <c r="E404" s="1" t="n">
        <v>46273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45709</v>
      </c>
      <c r="E405" s="1" t="n">
        <v>46273</v>
      </c>
      <c r="F405" t="inlineStr">
        <is>
          <t>VÄSTRA GÖTALANDS LÄN</t>
        </is>
      </c>
      <c r="G405" t="inlineStr">
        <is>
          <t>MUNKEDAL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45881</v>
      </c>
      <c r="E406" s="1" t="n">
        <v>46273</v>
      </c>
      <c r="F406" t="inlineStr">
        <is>
          <t>VÄSTRA GÖTALANDS LÄN</t>
        </is>
      </c>
      <c r="G406" t="inlineStr">
        <is>
          <t>MUNKEDAL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46273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46273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46273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46273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46273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2026-09-08T02:12:42Z</dcterms:created>
  <dcterms:modified xmlns:dcterms="http://purl.org/dc/terms/" xmlns:xsi="http://www.w3.org/2001/XMLSchema-instance" xsi:type="dcterms:W3CDTF">2026-09-08T02:12:42Z</dcterms:modified>
</cp:coreProperties>
</file>