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46315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46315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46315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46315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46315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46315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46315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46315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46315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46315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46315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46315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46315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46315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62525-2021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46315</v>
      </c>
      <c r="F17" t="inlineStr">
        <is>
          <t>VÄSTRA GÖTALANDS LÄN</t>
        </is>
      </c>
      <c r="G17" t="inlineStr">
        <is>
          <t>MUNKEDAL</t>
        </is>
      </c>
      <c r="I17" t="n">
        <v>14.5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Trollsmultron</t>
        </is>
      </c>
      <c r="W17">
        <f>HYPERLINK("https://klasma.github.io/Logging_1430/artfynd/A 62525-2021 artfynd.xlsx", "A 62525-2021")</f>
        <v/>
      </c>
      <c r="X17">
        <f>HYPERLINK("https://klasma.github.io/Logging_1430/kartor/A 62525-2021 karta.png", "A 62525-2021")</f>
        <v/>
      </c>
      <c r="Y17">
        <f>HYPERLINK("https://klasma.github.io/Logging_1430/kartor_geotiff/A 62525-2021 georefererad karta.tif", "A 62525-2021")</f>
        <v/>
      </c>
      <c r="AA17">
        <f>HYPERLINK("https://klasma.github.io/Logging_1430/klagomål/A 62525-2021 FSC-klagomål.docx", "A 62525-2021")</f>
        <v/>
      </c>
      <c r="AB17">
        <f>HYPERLINK("https://klasma.github.io/Logging_1430/klagomålsmail/A 62525-2021 FSC-klagomål mail.docx", "A 62525-2021")</f>
        <v/>
      </c>
      <c r="AC17">
        <f>HYPERLINK("https://klasma.github.io/Logging_1430/tillsyn/A 62525-2021 tillsynsbegäran.docx", "A 62525-2021")</f>
        <v/>
      </c>
      <c r="AD17">
        <f>HYPERLINK("https://klasma.github.io/Logging_1430/tillsynsmail/A 62525-2021 tillsynsbegäran mail.docx", "A 62525-2021")</f>
        <v/>
      </c>
    </row>
    <row r="18" ht="15" customHeight="1">
      <c r="A18" t="inlineStr">
        <is>
          <t>A 37035-2024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46315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Övriga Aktiebolag</t>
        </is>
      </c>
      <c r="I18" t="n">
        <v>43.6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HYPERLINK("https://klasma.github.io/Logging_1430/artfynd/A 37035-2024 artfynd.xlsx", "A 37035-2024")</f>
        <v/>
      </c>
      <c r="X18">
        <f>HYPERLINK("https://klasma.github.io/Logging_1430/kartor/A 37035-2024 karta.png", "A 37035-2024")</f>
        <v/>
      </c>
      <c r="Y18">
        <f>HYPERLINK("https://klasma.github.io/Logging_1430/kartor_geotiff/A 37035-2024 georefererad karta.tif", "A 37035-2024")</f>
        <v/>
      </c>
      <c r="AA18">
        <f>HYPERLINK("https://klasma.github.io/Logging_1430/klagomål/A 37035-2024 FSC-klagomål.docx", "A 37035-2024")</f>
        <v/>
      </c>
      <c r="AB18">
        <f>HYPERLINK("https://klasma.github.io/Logging_1430/klagomålsmail/A 37035-2024 FSC-klagomål mail.docx", "A 37035-2024")</f>
        <v/>
      </c>
      <c r="AC18">
        <f>HYPERLINK("https://klasma.github.io/Logging_1430/tillsyn/A 37035-2024 tillsynsbegäran.docx", "A 37035-2024")</f>
        <v/>
      </c>
      <c r="AD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46315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46315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46315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46315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23065-2026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46315</v>
      </c>
      <c r="F23" t="inlineStr">
        <is>
          <t>VÄSTRA GÖTALANDS LÄN</t>
        </is>
      </c>
      <c r="G23" t="inlineStr">
        <is>
          <t>MUNKEDAL</t>
        </is>
      </c>
      <c r="I23" t="n">
        <v>7.5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23065-2026 artfynd.xlsx", "A 23065-2026")</f>
        <v/>
      </c>
      <c r="X23">
        <f>HYPERLINK("https://klasma.github.io/Logging_1430/kartor/A 23065-2026 karta.png", "A 23065-2026")</f>
        <v/>
      </c>
      <c r="Y23">
        <f>HYPERLINK("https://klasma.github.io/Logging_1430/kartor_geotiff/A 23065-2026 georefererad karta.tif", "A 23065-2026")</f>
        <v/>
      </c>
      <c r="AA23">
        <f>HYPERLINK("https://klasma.github.io/Logging_1430/klagomål/A 23065-2026 FSC-klagomål.docx", "A 23065-2026")</f>
        <v/>
      </c>
      <c r="AB23">
        <f>HYPERLINK("https://klasma.github.io/Logging_1430/klagomålsmail/A 23065-2026 FSC-klagomål mail.docx", "A 23065-2026")</f>
        <v/>
      </c>
      <c r="AC23">
        <f>HYPERLINK("https://klasma.github.io/Logging_1430/tillsyn/A 23065-2026 tillsynsbegäran.docx", "A 23065-2026")</f>
        <v/>
      </c>
      <c r="AD23">
        <f>HYPERLINK("https://klasma.github.io/Logging_1430/tillsynsmail/A 23065-2026 tillsynsbegäran mail.docx", "A 23065-2026")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46315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46315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46315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46315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46315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46315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46315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46315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46315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46315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46315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46315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46315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46315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46315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46315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46315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46315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46315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46315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46315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46315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46315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46315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46315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46315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46315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46315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46315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46315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46315</v>
      </c>
      <c r="F54" t="inlineStr">
        <is>
          <t>VÄSTRA GÖTALANDS LÄN</t>
        </is>
      </c>
      <c r="G54" t="inlineStr">
        <is>
          <t>MUNKEDAL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58617-2023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45251</v>
      </c>
      <c r="E55" s="1" t="n">
        <v>46315</v>
      </c>
      <c r="F55" t="inlineStr">
        <is>
          <t>VÄSTRA GÖTALANDS LÄN</t>
        </is>
      </c>
      <c r="G55" t="inlineStr">
        <is>
          <t>MUNKEDAL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46315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46315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46315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46315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46315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46315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45097</v>
      </c>
      <c r="E62" s="1" t="n">
        <v>46315</v>
      </c>
      <c r="F62" t="inlineStr">
        <is>
          <t>VÄSTRA GÖTALANDS LÄN</t>
        </is>
      </c>
      <c r="G62" t="inlineStr">
        <is>
          <t>MUNKEDAL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17678-2024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46315</v>
      </c>
      <c r="F63" t="inlineStr">
        <is>
          <t>VÄSTRA GÖTALANDS LÄN</t>
        </is>
      </c>
      <c r="G63" t="inlineStr">
        <is>
          <t>MUNKEDAL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46315</v>
      </c>
      <c r="F64" t="inlineStr">
        <is>
          <t>VÄSTRA GÖTALANDS LÄN</t>
        </is>
      </c>
      <c r="G64" t="inlineStr">
        <is>
          <t>MUNKEDAL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46315</v>
      </c>
      <c r="F65" t="inlineStr">
        <is>
          <t>VÄSTRA GÖTALANDS LÄN</t>
        </is>
      </c>
      <c r="G65" t="inlineStr">
        <is>
          <t>MUNKEDAL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46315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Naturvårdsverket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46315</v>
      </c>
      <c r="F67" t="inlineStr">
        <is>
          <t>VÄSTRA GÖTALANDS LÄN</t>
        </is>
      </c>
      <c r="G67" t="inlineStr">
        <is>
          <t>MUNKEDAL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45455</v>
      </c>
      <c r="E68" s="1" t="n">
        <v>46315</v>
      </c>
      <c r="F68" t="inlineStr">
        <is>
          <t>VÄSTRA GÖTALANDS LÄN</t>
        </is>
      </c>
      <c r="G68" t="inlineStr">
        <is>
          <t>MUNKEDAL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46315</v>
      </c>
      <c r="F69" t="inlineStr">
        <is>
          <t>VÄSTRA GÖTALANDS LÄN</t>
        </is>
      </c>
      <c r="G69" t="inlineStr">
        <is>
          <t>MUNKEDAL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46315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46315</v>
      </c>
      <c r="F71" t="inlineStr">
        <is>
          <t>VÄSTRA GÖTALANDS LÄN</t>
        </is>
      </c>
      <c r="G71" t="inlineStr">
        <is>
          <t>MUNKEDAL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46315</v>
      </c>
      <c r="F72" t="inlineStr">
        <is>
          <t>VÄSTRA GÖTALANDS LÄN</t>
        </is>
      </c>
      <c r="G72" t="inlineStr">
        <is>
          <t>MUNKEDAL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46315</v>
      </c>
      <c r="F73" t="inlineStr">
        <is>
          <t>VÄSTRA GÖTALANDS LÄN</t>
        </is>
      </c>
      <c r="G73" t="inlineStr">
        <is>
          <t>MUNKEDAL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46315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46315</v>
      </c>
      <c r="F75" t="inlineStr">
        <is>
          <t>VÄSTRA GÖTALANDS LÄN</t>
        </is>
      </c>
      <c r="G75" t="inlineStr">
        <is>
          <t>MUNKEDAL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46315</v>
      </c>
      <c r="F76" t="inlineStr">
        <is>
          <t>VÄSTRA GÖTALANDS LÄN</t>
        </is>
      </c>
      <c r="G76" t="inlineStr">
        <is>
          <t>MUNKEDAL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46315</v>
      </c>
      <c r="F77" t="inlineStr">
        <is>
          <t>VÄSTRA GÖTALANDS LÄN</t>
        </is>
      </c>
      <c r="G77" t="inlineStr">
        <is>
          <t>MUNKEDAL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44960</v>
      </c>
      <c r="E78" s="1" t="n">
        <v>46315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45522</v>
      </c>
      <c r="E79" s="1" t="n">
        <v>46315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44897</v>
      </c>
      <c r="E80" s="1" t="n">
        <v>46315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45618</v>
      </c>
      <c r="E81" s="1" t="n">
        <v>46315</v>
      </c>
      <c r="F81" t="inlineStr">
        <is>
          <t>VÄSTRA GÖTALANDS LÄN</t>
        </is>
      </c>
      <c r="G81" t="inlineStr">
        <is>
          <t>MUNKEDAL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46315</v>
      </c>
      <c r="F82" t="inlineStr">
        <is>
          <t>VÄSTRA GÖTALANDS LÄN</t>
        </is>
      </c>
      <c r="G82" t="inlineStr">
        <is>
          <t>MUNKEDAL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45029</v>
      </c>
      <c r="E83" s="1" t="n">
        <v>46315</v>
      </c>
      <c r="F83" t="inlineStr">
        <is>
          <t>VÄSTRA GÖTALANDS LÄN</t>
        </is>
      </c>
      <c r="G83" t="inlineStr">
        <is>
          <t>MUNKEDAL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46315</v>
      </c>
      <c r="F84" t="inlineStr">
        <is>
          <t>VÄSTRA GÖTALANDS LÄN</t>
        </is>
      </c>
      <c r="G84" t="inlineStr">
        <is>
          <t>MUNKEDAL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46315</v>
      </c>
      <c r="F85" t="inlineStr">
        <is>
          <t>VÄSTRA GÖTALANDS LÄN</t>
        </is>
      </c>
      <c r="G85" t="inlineStr">
        <is>
          <t>MUNKEDAL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45678</v>
      </c>
      <c r="E86" s="1" t="n">
        <v>46315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46315</v>
      </c>
      <c r="F87" t="inlineStr">
        <is>
          <t>VÄSTRA GÖTALANDS LÄN</t>
        </is>
      </c>
      <c r="G87" t="inlineStr">
        <is>
          <t>MUNKEDAL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45618</v>
      </c>
      <c r="E88" s="1" t="n">
        <v>46315</v>
      </c>
      <c r="F88" t="inlineStr">
        <is>
          <t>VÄSTRA GÖTALANDS LÄN</t>
        </is>
      </c>
      <c r="G88" t="inlineStr">
        <is>
          <t>MUNKEDAL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44929</v>
      </c>
      <c r="E89" s="1" t="n">
        <v>46315</v>
      </c>
      <c r="F89" t="inlineStr">
        <is>
          <t>VÄSTRA GÖTALANDS LÄN</t>
        </is>
      </c>
      <c r="G89" t="inlineStr">
        <is>
          <t>MUNKEDAL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45640</v>
      </c>
      <c r="E90" s="1" t="n">
        <v>46315</v>
      </c>
      <c r="F90" t="inlineStr">
        <is>
          <t>VÄSTRA GÖTALANDS LÄN</t>
        </is>
      </c>
      <c r="G90" t="inlineStr">
        <is>
          <t>MUNKEDAL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46315</v>
      </c>
      <c r="F91" t="inlineStr">
        <is>
          <t>VÄSTRA GÖTALANDS LÄN</t>
        </is>
      </c>
      <c r="G91" t="inlineStr">
        <is>
          <t>MUNKEDAL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45147</v>
      </c>
      <c r="E92" s="1" t="n">
        <v>46315</v>
      </c>
      <c r="F92" t="inlineStr">
        <is>
          <t>VÄSTRA GÖTALANDS LÄN</t>
        </is>
      </c>
      <c r="G92" t="inlineStr">
        <is>
          <t>MUNKEDAL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46315</v>
      </c>
      <c r="F93" t="inlineStr">
        <is>
          <t>VÄSTRA GÖTALANDS LÄN</t>
        </is>
      </c>
      <c r="G93" t="inlineStr">
        <is>
          <t>MUNKEDAL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45388</v>
      </c>
      <c r="E94" s="1" t="n">
        <v>46315</v>
      </c>
      <c r="F94" t="inlineStr">
        <is>
          <t>VÄSTRA GÖTALANDS LÄN</t>
        </is>
      </c>
      <c r="G94" t="inlineStr">
        <is>
          <t>MUNKEDAL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45145</v>
      </c>
      <c r="E95" s="1" t="n">
        <v>46315</v>
      </c>
      <c r="F95" t="inlineStr">
        <is>
          <t>VÄSTRA GÖTALANDS LÄN</t>
        </is>
      </c>
      <c r="G95" t="inlineStr">
        <is>
          <t>MUNKEDAL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46315</v>
      </c>
      <c r="F96" t="inlineStr">
        <is>
          <t>VÄSTRA GÖTALANDS LÄN</t>
        </is>
      </c>
      <c r="G96" t="inlineStr">
        <is>
          <t>MUNKEDAL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46315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Kommuner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46315</v>
      </c>
      <c r="F98" t="inlineStr">
        <is>
          <t>VÄSTRA GÖTALANDS LÄN</t>
        </is>
      </c>
      <c r="G98" t="inlineStr">
        <is>
          <t>MUNKEDAL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45640</v>
      </c>
      <c r="E99" s="1" t="n">
        <v>46315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45640</v>
      </c>
      <c r="E100" s="1" t="n">
        <v>46315</v>
      </c>
      <c r="F100" t="inlineStr">
        <is>
          <t>VÄSTRA GÖTALANDS LÄN</t>
        </is>
      </c>
      <c r="G100" t="inlineStr">
        <is>
          <t>MUNKEDAL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46315</v>
      </c>
      <c r="F101" t="inlineStr">
        <is>
          <t>VÄSTRA GÖTALANDS LÄN</t>
        </is>
      </c>
      <c r="G101" t="inlineStr">
        <is>
          <t>MUNKEDAL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46315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46315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46315</v>
      </c>
      <c r="F104" t="inlineStr">
        <is>
          <t>VÄSTRA GÖTALANDS LÄN</t>
        </is>
      </c>
      <c r="G104" t="inlineStr">
        <is>
          <t>MUNKEDAL</t>
        </is>
      </c>
      <c r="I104" t="n">
        <v>15.4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46315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18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46315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46315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46315</v>
      </c>
      <c r="F108" t="inlineStr">
        <is>
          <t>VÄSTRA GÖTALANDS LÄN</t>
        </is>
      </c>
      <c r="G108" t="inlineStr">
        <is>
          <t>MUNKEDAL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46315</v>
      </c>
      <c r="F109" t="inlineStr">
        <is>
          <t>VÄSTRA GÖTALANDS LÄN</t>
        </is>
      </c>
      <c r="G109" t="inlineStr">
        <is>
          <t>MUNKEDAL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46315</v>
      </c>
      <c r="F110" t="inlineStr">
        <is>
          <t>VÄSTRA GÖTALANDS LÄN</t>
        </is>
      </c>
      <c r="G110" t="inlineStr">
        <is>
          <t>MUNKEDAL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45127</v>
      </c>
      <c r="E111" s="1" t="n">
        <v>46315</v>
      </c>
      <c r="F111" t="inlineStr">
        <is>
          <t>VÄSTRA GÖTALANDS LÄN</t>
        </is>
      </c>
      <c r="G111" t="inlineStr">
        <is>
          <t>MUNKEDAL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46315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46315</v>
      </c>
      <c r="F113" t="inlineStr">
        <is>
          <t>VÄSTRA GÖTALANDS LÄN</t>
        </is>
      </c>
      <c r="G113" t="inlineStr">
        <is>
          <t>MUNKEDAL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45005</v>
      </c>
      <c r="E114" s="1" t="n">
        <v>46315</v>
      </c>
      <c r="F114" t="inlineStr">
        <is>
          <t>VÄSTRA GÖTALANDS LÄN</t>
        </is>
      </c>
      <c r="G114" t="inlineStr">
        <is>
          <t>MUNKEDAL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46315</v>
      </c>
      <c r="F115" t="inlineStr">
        <is>
          <t>VÄSTRA GÖTALANDS LÄN</t>
        </is>
      </c>
      <c r="G115" t="inlineStr">
        <is>
          <t>MUNKEDAL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46315</v>
      </c>
      <c r="F116" t="inlineStr">
        <is>
          <t>VÄSTRA GÖTALANDS LÄN</t>
        </is>
      </c>
      <c r="G116" t="inlineStr">
        <is>
          <t>MUNKEDAL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46315</v>
      </c>
      <c r="F117" t="inlineStr">
        <is>
          <t>VÄSTRA GÖTALANDS LÄN</t>
        </is>
      </c>
      <c r="G117" t="inlineStr">
        <is>
          <t>MUNKEDAL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46315</v>
      </c>
      <c r="F118" t="inlineStr">
        <is>
          <t>VÄSTRA GÖTALANDS LÄN</t>
        </is>
      </c>
      <c r="G118" t="inlineStr">
        <is>
          <t>MUNKEDAL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46315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Kommuner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46315</v>
      </c>
      <c r="F120" t="inlineStr">
        <is>
          <t>VÄSTRA GÖTALANDS LÄN</t>
        </is>
      </c>
      <c r="G120" t="inlineStr">
        <is>
          <t>MUNKEDAL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45489</v>
      </c>
      <c r="E121" s="1" t="n">
        <v>46315</v>
      </c>
      <c r="F121" t="inlineStr">
        <is>
          <t>VÄSTRA GÖTALANDS LÄN</t>
        </is>
      </c>
      <c r="G121" t="inlineStr">
        <is>
          <t>MUNKEDAL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46315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46315</v>
      </c>
      <c r="F123" t="inlineStr">
        <is>
          <t>VÄSTRA GÖTALANDS LÄN</t>
        </is>
      </c>
      <c r="G123" t="inlineStr">
        <is>
          <t>MUNKEDAL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46315</v>
      </c>
      <c r="F124" t="inlineStr">
        <is>
          <t>VÄSTRA GÖTALANDS LÄN</t>
        </is>
      </c>
      <c r="G124" t="inlineStr">
        <is>
          <t>MUNKEDAL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46315</v>
      </c>
      <c r="F125" t="inlineStr">
        <is>
          <t>VÄSTRA GÖTALANDS LÄN</t>
        </is>
      </c>
      <c r="G125" t="inlineStr">
        <is>
          <t>MUNKEDAL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46315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46315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46315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46315</v>
      </c>
      <c r="F129" t="inlineStr">
        <is>
          <t>VÄSTRA GÖTALANDS LÄN</t>
        </is>
      </c>
      <c r="G129" t="inlineStr">
        <is>
          <t>MUNKEDAL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46050</v>
      </c>
      <c r="E130" s="1" t="n">
        <v>46315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Kyrkan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46315</v>
      </c>
      <c r="F131" t="inlineStr">
        <is>
          <t>VÄSTRA GÖTALANDS LÄN</t>
        </is>
      </c>
      <c r="G131" t="inlineStr">
        <is>
          <t>MUNKEDAL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46315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46315</v>
      </c>
      <c r="F133" t="inlineStr">
        <is>
          <t>VÄSTRA GÖTALANDS LÄN</t>
        </is>
      </c>
      <c r="G133" t="inlineStr">
        <is>
          <t>MUNKEDAL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46315</v>
      </c>
      <c r="F134" t="inlineStr">
        <is>
          <t>VÄSTRA GÖTALANDS LÄN</t>
        </is>
      </c>
      <c r="G134" t="inlineStr">
        <is>
          <t>MUNKEDAL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46315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46315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Kommuner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45921</v>
      </c>
      <c r="E137" s="1" t="n">
        <v>46315</v>
      </c>
      <c r="F137" t="inlineStr">
        <is>
          <t>VÄSTRA GÖTALANDS LÄN</t>
        </is>
      </c>
      <c r="G137" t="inlineStr">
        <is>
          <t>MUNKEDAL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45055</v>
      </c>
      <c r="E138" s="1" t="n">
        <v>46315</v>
      </c>
      <c r="F138" t="inlineStr">
        <is>
          <t>VÄSTRA GÖTALANDS LÄN</t>
        </is>
      </c>
      <c r="G138" t="inlineStr">
        <is>
          <t>MUNKEDAL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46315</v>
      </c>
      <c r="F139" t="inlineStr">
        <is>
          <t>VÄSTRA GÖTALANDS LÄN</t>
        </is>
      </c>
      <c r="G139" t="inlineStr">
        <is>
          <t>MUNKEDAL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46315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46315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46315</v>
      </c>
      <c r="F142" t="inlineStr">
        <is>
          <t>VÄSTRA GÖTALANDS LÄN</t>
        </is>
      </c>
      <c r="G142" t="inlineStr">
        <is>
          <t>MUNKEDAL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46315</v>
      </c>
      <c r="F143" t="inlineStr">
        <is>
          <t>VÄSTRA GÖTALANDS LÄN</t>
        </is>
      </c>
      <c r="G143" t="inlineStr">
        <is>
          <t>MUNKEDAL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45203</v>
      </c>
      <c r="E144" s="1" t="n">
        <v>46315</v>
      </c>
      <c r="F144" t="inlineStr">
        <is>
          <t>VÄSTRA GÖTALANDS LÄN</t>
        </is>
      </c>
      <c r="G144" t="inlineStr">
        <is>
          <t>MUNKEDAL</t>
        </is>
      </c>
      <c r="I144" t="n">
        <v>14.1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46315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45072</v>
      </c>
      <c r="E146" s="1" t="n">
        <v>46315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46315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46315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Naturvårdsverket</t>
        </is>
      </c>
      <c r="I148" t="n">
        <v>15.8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46315</v>
      </c>
      <c r="F149" t="inlineStr">
        <is>
          <t>VÄSTRA GÖTALANDS LÄN</t>
        </is>
      </c>
      <c r="G149" t="inlineStr">
        <is>
          <t>MUNKEDAL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46315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46315</v>
      </c>
      <c r="F151" t="inlineStr">
        <is>
          <t>VÄSTRA GÖTALANDS LÄN</t>
        </is>
      </c>
      <c r="G151" t="inlineStr">
        <is>
          <t>MUNKEDAL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46315</v>
      </c>
      <c r="F152" t="inlineStr">
        <is>
          <t>VÄSTRA GÖTALANDS LÄN</t>
        </is>
      </c>
      <c r="G152" t="inlineStr">
        <is>
          <t>MUNKEDAL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46315</v>
      </c>
      <c r="F153" t="inlineStr">
        <is>
          <t>VÄSTRA GÖTALANDS LÄN</t>
        </is>
      </c>
      <c r="G153" t="inlineStr">
        <is>
          <t>MUNKEDAL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46315</v>
      </c>
      <c r="F154" t="inlineStr">
        <is>
          <t>VÄSTRA GÖTALANDS LÄN</t>
        </is>
      </c>
      <c r="G154" t="inlineStr">
        <is>
          <t>MUNKEDAL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46315</v>
      </c>
      <c r="F155" t="inlineStr">
        <is>
          <t>VÄSTRA GÖTALANDS LÄN</t>
        </is>
      </c>
      <c r="G155" t="inlineStr">
        <is>
          <t>MUNKEDAL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46315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46315</v>
      </c>
      <c r="F157" t="inlineStr">
        <is>
          <t>VÄSTRA GÖTALANDS LÄN</t>
        </is>
      </c>
      <c r="G157" t="inlineStr">
        <is>
          <t>MUNKEDAL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46315</v>
      </c>
      <c r="F158" t="inlineStr">
        <is>
          <t>VÄSTRA GÖTALANDS LÄN</t>
        </is>
      </c>
      <c r="G158" t="inlineStr">
        <is>
          <t>MUNKEDAL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46315</v>
      </c>
      <c r="F159" t="inlineStr">
        <is>
          <t>VÄSTRA GÖTALANDS LÄN</t>
        </is>
      </c>
      <c r="G159" t="inlineStr">
        <is>
          <t>MUNKEDAL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46315</v>
      </c>
      <c r="F160" t="inlineStr">
        <is>
          <t>VÄSTRA GÖTALANDS LÄN</t>
        </is>
      </c>
      <c r="G160" t="inlineStr">
        <is>
          <t>MUNKEDAL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46315</v>
      </c>
      <c r="F161" t="inlineStr">
        <is>
          <t>VÄSTRA GÖTALANDS LÄN</t>
        </is>
      </c>
      <c r="G161" t="inlineStr">
        <is>
          <t>MUNKEDAL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46315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46315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46315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46315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46315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46315</v>
      </c>
      <c r="F167" t="inlineStr">
        <is>
          <t>VÄSTRA GÖTALANDS LÄN</t>
        </is>
      </c>
      <c r="G167" t="inlineStr">
        <is>
          <t>MUNKEDAL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46315</v>
      </c>
      <c r="F168" t="inlineStr">
        <is>
          <t>VÄSTRA GÖTALANDS LÄN</t>
        </is>
      </c>
      <c r="G168" t="inlineStr">
        <is>
          <t>MUNKEDAL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46315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46315</v>
      </c>
      <c r="F170" t="inlineStr">
        <is>
          <t>VÄSTRA GÖTALANDS LÄN</t>
        </is>
      </c>
      <c r="G170" t="inlineStr">
        <is>
          <t>MUNKEDAL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45296</v>
      </c>
      <c r="E171" s="1" t="n">
        <v>46315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Kyrkan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46315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46315</v>
      </c>
      <c r="F173" t="inlineStr">
        <is>
          <t>VÄSTRA GÖTALANDS LÄN</t>
        </is>
      </c>
      <c r="G173" t="inlineStr">
        <is>
          <t>MUNKEDAL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46160</v>
      </c>
      <c r="E174" s="1" t="n">
        <v>46315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45282</v>
      </c>
      <c r="E175" s="1" t="n">
        <v>46315</v>
      </c>
      <c r="F175" t="inlineStr">
        <is>
          <t>VÄSTRA GÖTALANDS LÄN</t>
        </is>
      </c>
      <c r="G175" t="inlineStr">
        <is>
          <t>MUNKEDAL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46315</v>
      </c>
      <c r="F176" t="inlineStr">
        <is>
          <t>VÄSTRA GÖTALANDS LÄN</t>
        </is>
      </c>
      <c r="G176" t="inlineStr">
        <is>
          <t>MUNKEDAL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46315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statliga verk och myndigheter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46315</v>
      </c>
      <c r="F178" t="inlineStr">
        <is>
          <t>VÄSTRA GÖTALANDS LÄN</t>
        </is>
      </c>
      <c r="G178" t="inlineStr">
        <is>
          <t>MUNKEDAL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46315</v>
      </c>
      <c r="F179" t="inlineStr">
        <is>
          <t>VÄSTRA GÖTALANDS LÄN</t>
        </is>
      </c>
      <c r="G179" t="inlineStr">
        <is>
          <t>MUNKEDAL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44579</v>
      </c>
      <c r="E180" s="1" t="n">
        <v>46315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Kyrkan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46315</v>
      </c>
      <c r="F181" t="inlineStr">
        <is>
          <t>VÄSTRA GÖTALANDS LÄN</t>
        </is>
      </c>
      <c r="G181" t="inlineStr">
        <is>
          <t>MUNKEDAL</t>
        </is>
      </c>
      <c r="I181" t="n">
        <v>16.3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46315</v>
      </c>
      <c r="F182" t="inlineStr">
        <is>
          <t>VÄSTRA GÖTALANDS LÄN</t>
        </is>
      </c>
      <c r="G182" t="inlineStr">
        <is>
          <t>MUNKEDAL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46315</v>
      </c>
      <c r="F183" t="inlineStr">
        <is>
          <t>VÄSTRA GÖTALANDS LÄN</t>
        </is>
      </c>
      <c r="G183" t="inlineStr">
        <is>
          <t>MUNKEDAL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46315</v>
      </c>
      <c r="F184" t="inlineStr">
        <is>
          <t>VÄSTRA GÖTALANDS LÄN</t>
        </is>
      </c>
      <c r="G184" t="inlineStr">
        <is>
          <t>MUNKEDAL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46315</v>
      </c>
      <c r="F185" t="inlineStr">
        <is>
          <t>VÄSTRA GÖTALANDS LÄN</t>
        </is>
      </c>
      <c r="G185" t="inlineStr">
        <is>
          <t>MUNKEDAL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46315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Kyrkan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46315</v>
      </c>
      <c r="F187" t="inlineStr">
        <is>
          <t>VÄSTRA GÖTALANDS LÄN</t>
        </is>
      </c>
      <c r="G187" t="inlineStr">
        <is>
          <t>MUNKEDAL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46315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46315</v>
      </c>
      <c r="F189" t="inlineStr">
        <is>
          <t>VÄSTRA GÖTALANDS LÄN</t>
        </is>
      </c>
      <c r="G189" t="inlineStr">
        <is>
          <t>MUNKEDAL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46315</v>
      </c>
      <c r="F190" t="inlineStr">
        <is>
          <t>VÄSTRA GÖTALANDS LÄN</t>
        </is>
      </c>
      <c r="G190" t="inlineStr">
        <is>
          <t>MUNKEDAL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45614</v>
      </c>
      <c r="E191" s="1" t="n">
        <v>46315</v>
      </c>
      <c r="F191" t="inlineStr">
        <is>
          <t>VÄSTRA GÖTALANDS LÄN</t>
        </is>
      </c>
      <c r="G191" t="inlineStr">
        <is>
          <t>MUNKEDAL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46315</v>
      </c>
      <c r="F192" t="inlineStr">
        <is>
          <t>VÄSTRA GÖTALANDS LÄN</t>
        </is>
      </c>
      <c r="G192" t="inlineStr">
        <is>
          <t>MUNKEDAL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46315</v>
      </c>
      <c r="F193" t="inlineStr">
        <is>
          <t>VÄSTRA GÖTALANDS LÄN</t>
        </is>
      </c>
      <c r="G193" t="inlineStr">
        <is>
          <t>MUNKEDAL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46002</v>
      </c>
      <c r="E194" s="1" t="n">
        <v>46315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19.1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46315</v>
      </c>
      <c r="F195" t="inlineStr">
        <is>
          <t>VÄSTRA GÖTALANDS LÄN</t>
        </is>
      </c>
      <c r="G195" t="inlineStr">
        <is>
          <t>MUNKEDAL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46315</v>
      </c>
      <c r="F196" t="inlineStr">
        <is>
          <t>VÄSTRA GÖTALANDS LÄN</t>
        </is>
      </c>
      <c r="G196" t="inlineStr">
        <is>
          <t>MUNKEDAL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46315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46315</v>
      </c>
      <c r="F198" t="inlineStr">
        <is>
          <t>VÄSTRA GÖTALANDS LÄN</t>
        </is>
      </c>
      <c r="G198" t="inlineStr">
        <is>
          <t>MUNKEDAL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46169</v>
      </c>
      <c r="E199" s="1" t="n">
        <v>46315</v>
      </c>
      <c r="F199" t="inlineStr">
        <is>
          <t>VÄSTRA GÖTALANDS LÄN</t>
        </is>
      </c>
      <c r="G199" t="inlineStr">
        <is>
          <t>MUNKEDAL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46315</v>
      </c>
      <c r="F200" t="inlineStr">
        <is>
          <t>VÄSTRA GÖTALANDS LÄN</t>
        </is>
      </c>
      <c r="G200" t="inlineStr">
        <is>
          <t>MUNKEDAL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46315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45640</v>
      </c>
      <c r="E202" s="1" t="n">
        <v>46315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46315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44755</v>
      </c>
      <c r="E204" s="1" t="n">
        <v>46315</v>
      </c>
      <c r="F204" t="inlineStr">
        <is>
          <t>VÄSTRA GÖTALANDS LÄN</t>
        </is>
      </c>
      <c r="G204" t="inlineStr">
        <is>
          <t>MUNKEDAL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46315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Naturvårdsverket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46022</v>
      </c>
      <c r="E206" s="1" t="n">
        <v>46315</v>
      </c>
      <c r="F206" t="inlineStr">
        <is>
          <t>VÄSTRA GÖTALANDS LÄN</t>
        </is>
      </c>
      <c r="G206" t="inlineStr">
        <is>
          <t>MUNKEDAL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46022</v>
      </c>
      <c r="E207" s="1" t="n">
        <v>46315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46315</v>
      </c>
      <c r="F208" t="inlineStr">
        <is>
          <t>VÄSTRA GÖTALANDS LÄN</t>
        </is>
      </c>
      <c r="G208" t="inlineStr">
        <is>
          <t>MUNKEDAL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46315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49574-2024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46315</v>
      </c>
      <c r="F210" t="inlineStr">
        <is>
          <t>VÄSTRA GÖTALANDS LÄN</t>
        </is>
      </c>
      <c r="G210" t="inlineStr">
        <is>
          <t>MUNKEDAL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45596</v>
      </c>
      <c r="E211" s="1" t="n">
        <v>46315</v>
      </c>
      <c r="F211" t="inlineStr">
        <is>
          <t>VÄSTRA GÖTALANDS LÄN</t>
        </is>
      </c>
      <c r="G211" t="inlineStr">
        <is>
          <t>MUNKEDAL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46315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45560</v>
      </c>
      <c r="E213" s="1" t="n">
        <v>46315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45478</v>
      </c>
      <c r="E214" s="1" t="n">
        <v>46315</v>
      </c>
      <c r="F214" t="inlineStr">
        <is>
          <t>VÄSTRA GÖTALANDS LÄN</t>
        </is>
      </c>
      <c r="G214" t="inlineStr">
        <is>
          <t>MUNKEDAL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46315</v>
      </c>
      <c r="F215" t="inlineStr">
        <is>
          <t>VÄSTRA GÖTALANDS LÄN</t>
        </is>
      </c>
      <c r="G215" t="inlineStr">
        <is>
          <t>MUNKEDAL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46315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46315</v>
      </c>
      <c r="F217" t="inlineStr">
        <is>
          <t>VÄSTRA GÖTALANDS LÄN</t>
        </is>
      </c>
      <c r="G217" t="inlineStr">
        <is>
          <t>MUNKEDAL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46315</v>
      </c>
      <c r="F218" t="inlineStr">
        <is>
          <t>VÄSTRA GÖTALANDS LÄN</t>
        </is>
      </c>
      <c r="G218" t="inlineStr">
        <is>
          <t>MUNKEDAL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46315</v>
      </c>
      <c r="F219" t="inlineStr">
        <is>
          <t>VÄSTRA GÖTALANDS LÄN</t>
        </is>
      </c>
      <c r="G219" t="inlineStr">
        <is>
          <t>MUNKEDAL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46315</v>
      </c>
      <c r="F220" t="inlineStr">
        <is>
          <t>VÄSTRA GÖTALANDS LÄN</t>
        </is>
      </c>
      <c r="G220" t="inlineStr">
        <is>
          <t>MUNKEDAL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46315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45325</v>
      </c>
      <c r="E222" s="1" t="n">
        <v>46315</v>
      </c>
      <c r="F222" t="inlineStr">
        <is>
          <t>VÄSTRA GÖTALANDS LÄN</t>
        </is>
      </c>
      <c r="G222" t="inlineStr">
        <is>
          <t>MUNKEDAL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46315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46315</v>
      </c>
      <c r="F224" t="inlineStr">
        <is>
          <t>VÄSTRA GÖTALANDS LÄN</t>
        </is>
      </c>
      <c r="G224" t="inlineStr">
        <is>
          <t>MUNKEDAL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46047</v>
      </c>
      <c r="E225" s="1" t="n">
        <v>46315</v>
      </c>
      <c r="F225" t="inlineStr">
        <is>
          <t>VÄSTRA GÖTALANDS LÄN</t>
        </is>
      </c>
      <c r="G225" t="inlineStr">
        <is>
          <t>MUNKEDAL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46315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46315</v>
      </c>
      <c r="F227" t="inlineStr">
        <is>
          <t>VÄSTRA GÖTALANDS LÄN</t>
        </is>
      </c>
      <c r="G227" t="inlineStr">
        <is>
          <t>MUNKEDAL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46315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46315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46315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49912-2023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45214</v>
      </c>
      <c r="E231" s="1" t="n">
        <v>46315</v>
      </c>
      <c r="F231" t="inlineStr">
        <is>
          <t>VÄSTRA GÖTALANDS LÄN</t>
        </is>
      </c>
      <c r="G231" t="inlineStr">
        <is>
          <t>MUNKEDAL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46315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Kyrkan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45147</v>
      </c>
      <c r="E233" s="1" t="n">
        <v>46315</v>
      </c>
      <c r="F233" t="inlineStr">
        <is>
          <t>VÄSTRA GÖTALANDS LÄN</t>
        </is>
      </c>
      <c r="G233" t="inlineStr">
        <is>
          <t>MUNKEDAL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46315</v>
      </c>
      <c r="F234" t="inlineStr">
        <is>
          <t>VÄSTRA GÖTALANDS LÄN</t>
        </is>
      </c>
      <c r="G234" t="inlineStr">
        <is>
          <t>MUNKEDAL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46315</v>
      </c>
      <c r="F235" t="inlineStr">
        <is>
          <t>VÄSTRA GÖTALANDS LÄN</t>
        </is>
      </c>
      <c r="G235" t="inlineStr">
        <is>
          <t>MUNKEDAL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46315</v>
      </c>
      <c r="F236" t="inlineStr">
        <is>
          <t>VÄSTRA GÖTALANDS LÄN</t>
        </is>
      </c>
      <c r="G236" t="inlineStr">
        <is>
          <t>MUNKEDAL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18278-2025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45762</v>
      </c>
      <c r="E237" s="1" t="n">
        <v>46315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46315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46064</v>
      </c>
      <c r="E239" s="1" t="n">
        <v>46315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45155</v>
      </c>
      <c r="E240" s="1" t="n">
        <v>46315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46315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Aktiebolag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46315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46315</v>
      </c>
      <c r="F243" t="inlineStr">
        <is>
          <t>VÄSTRA GÖTALANDS LÄN</t>
        </is>
      </c>
      <c r="G243" t="inlineStr">
        <is>
          <t>MUNKEDAL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45342</v>
      </c>
      <c r="E244" s="1" t="n">
        <v>46315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46315</v>
      </c>
      <c r="F245" t="inlineStr">
        <is>
          <t>VÄSTRA GÖTALANDS LÄN</t>
        </is>
      </c>
      <c r="G245" t="inlineStr">
        <is>
          <t>MUNKEDAL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46315</v>
      </c>
      <c r="F246" t="inlineStr">
        <is>
          <t>VÄSTRA GÖTALANDS LÄN</t>
        </is>
      </c>
      <c r="G246" t="inlineStr">
        <is>
          <t>MUNKEDAL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46091</v>
      </c>
      <c r="E247" s="1" t="n">
        <v>46315</v>
      </c>
      <c r="F247" t="inlineStr">
        <is>
          <t>VÄSTRA GÖTALANDS LÄN</t>
        </is>
      </c>
      <c r="G247" t="inlineStr">
        <is>
          <t>MUNKEDAL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46315</v>
      </c>
      <c r="F248" t="inlineStr">
        <is>
          <t>VÄSTRA GÖTALANDS LÄN</t>
        </is>
      </c>
      <c r="G248" t="inlineStr">
        <is>
          <t>MUNKEDAL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45314</v>
      </c>
      <c r="E249" s="1" t="n">
        <v>46315</v>
      </c>
      <c r="F249" t="inlineStr">
        <is>
          <t>VÄSTRA GÖTALANDS LÄN</t>
        </is>
      </c>
      <c r="G249" t="inlineStr">
        <is>
          <t>MUNKEDAL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46315</v>
      </c>
      <c r="F250" t="inlineStr">
        <is>
          <t>VÄSTRA GÖTALANDS LÄN</t>
        </is>
      </c>
      <c r="G250" t="inlineStr">
        <is>
          <t>MUNKEDAL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44715</v>
      </c>
      <c r="E251" s="1" t="n">
        <v>46315</v>
      </c>
      <c r="F251" t="inlineStr">
        <is>
          <t>VÄSTRA GÖTALANDS LÄN</t>
        </is>
      </c>
      <c r="G251" t="inlineStr">
        <is>
          <t>MUNKEDAL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45293</v>
      </c>
      <c r="E252" s="1" t="n">
        <v>46315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46315</v>
      </c>
      <c r="F253" t="inlineStr">
        <is>
          <t>VÄSTRA GÖTALANDS LÄN</t>
        </is>
      </c>
      <c r="G253" t="inlineStr">
        <is>
          <t>MUNKEDAL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37327-2022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44806</v>
      </c>
      <c r="E254" s="1" t="n">
        <v>46315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25.2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45215</v>
      </c>
      <c r="E255" s="1" t="n">
        <v>46315</v>
      </c>
      <c r="F255" t="inlineStr">
        <is>
          <t>VÄSTRA GÖTALANDS LÄN</t>
        </is>
      </c>
      <c r="G255" t="inlineStr">
        <is>
          <t>MUNKEDAL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46315</v>
      </c>
      <c r="F256" t="inlineStr">
        <is>
          <t>VÄSTRA GÖTALANDS LÄN</t>
        </is>
      </c>
      <c r="G256" t="inlineStr">
        <is>
          <t>MUNKEDAL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46315</v>
      </c>
      <c r="F257" t="inlineStr">
        <is>
          <t>VÄSTRA GÖTALANDS LÄN</t>
        </is>
      </c>
      <c r="G257" t="inlineStr">
        <is>
          <t>MUNKEDAL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44704</v>
      </c>
      <c r="E258" s="1" t="n">
        <v>46315</v>
      </c>
      <c r="F258" t="inlineStr">
        <is>
          <t>VÄSTRA GÖTALANDS LÄN</t>
        </is>
      </c>
      <c r="G258" t="inlineStr">
        <is>
          <t>MUNKEDAL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46315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45296</v>
      </c>
      <c r="E260" s="1" t="n">
        <v>46315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46315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46315</v>
      </c>
      <c r="F262" t="inlineStr">
        <is>
          <t>VÄSTRA GÖTALANDS LÄN</t>
        </is>
      </c>
      <c r="G262" t="inlineStr">
        <is>
          <t>MUNKEDAL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46315</v>
      </c>
      <c r="F263" t="inlineStr">
        <is>
          <t>VÄSTRA GÖTALANDS LÄN</t>
        </is>
      </c>
      <c r="G263" t="inlineStr">
        <is>
          <t>MUNKEDAL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46315</v>
      </c>
      <c r="F264" t="inlineStr">
        <is>
          <t>VÄSTRA GÖTALANDS LÄN</t>
        </is>
      </c>
      <c r="G264" t="inlineStr">
        <is>
          <t>MUNKEDAL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46315</v>
      </c>
      <c r="F265" t="inlineStr">
        <is>
          <t>VÄSTRA GÖTALANDS LÄN</t>
        </is>
      </c>
      <c r="G265" t="inlineStr">
        <is>
          <t>MUNKEDAL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46315</v>
      </c>
      <c r="F266" t="inlineStr">
        <is>
          <t>VÄSTRA GÖTALANDS LÄN</t>
        </is>
      </c>
      <c r="G266" t="inlineStr">
        <is>
          <t>MUNKEDAL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46315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44866</v>
      </c>
      <c r="E268" s="1" t="n">
        <v>46315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45470</v>
      </c>
      <c r="E269" s="1" t="n">
        <v>46315</v>
      </c>
      <c r="F269" t="inlineStr">
        <is>
          <t>VÄSTRA GÖTALANDS LÄN</t>
        </is>
      </c>
      <c r="G269" t="inlineStr">
        <is>
          <t>MUNKEDAL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45619</v>
      </c>
      <c r="E270" s="1" t="n">
        <v>46315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44672</v>
      </c>
      <c r="E271" s="1" t="n">
        <v>46315</v>
      </c>
      <c r="F271" t="inlineStr">
        <is>
          <t>VÄSTRA GÖTALANDS LÄN</t>
        </is>
      </c>
      <c r="G271" t="inlineStr">
        <is>
          <t>MUNKEDAL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46315</v>
      </c>
      <c r="F272" t="inlineStr">
        <is>
          <t>VÄSTRA GÖTALANDS LÄN</t>
        </is>
      </c>
      <c r="G272" t="inlineStr">
        <is>
          <t>MUNKEDAL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46315</v>
      </c>
      <c r="F273" t="inlineStr">
        <is>
          <t>VÄSTRA GÖTALANDS LÄN</t>
        </is>
      </c>
      <c r="G273" t="inlineStr">
        <is>
          <t>MUNKEDAL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45175</v>
      </c>
      <c r="E274" s="1" t="n">
        <v>46315</v>
      </c>
      <c r="F274" t="inlineStr">
        <is>
          <t>VÄSTRA GÖTALANDS LÄN</t>
        </is>
      </c>
      <c r="G274" t="inlineStr">
        <is>
          <t>MUNKEDAL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46315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46315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46131</v>
      </c>
      <c r="E277" s="1" t="n">
        <v>46315</v>
      </c>
      <c r="F277" t="inlineStr">
        <is>
          <t>VÄSTRA GÖTALANDS LÄN</t>
        </is>
      </c>
      <c r="G277" t="inlineStr">
        <is>
          <t>MUNKEDAL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46134</v>
      </c>
      <c r="E278" s="1" t="n">
        <v>46315</v>
      </c>
      <c r="F278" t="inlineStr">
        <is>
          <t>VÄSTRA GÖTALANDS LÄN</t>
        </is>
      </c>
      <c r="G278" t="inlineStr">
        <is>
          <t>MUNKEDAL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46315</v>
      </c>
      <c r="F279" t="inlineStr">
        <is>
          <t>VÄSTRA GÖTALANDS LÄN</t>
        </is>
      </c>
      <c r="G279" t="inlineStr">
        <is>
          <t>MUNKEDAL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46203</v>
      </c>
      <c r="E280" s="1" t="n">
        <v>46315</v>
      </c>
      <c r="F280" t="inlineStr">
        <is>
          <t>VÄSTRA GÖTALANDS LÄN</t>
        </is>
      </c>
      <c r="G280" t="inlineStr">
        <is>
          <t>MUNKEDAL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46315</v>
      </c>
      <c r="F281" t="inlineStr">
        <is>
          <t>VÄSTRA GÖTALANDS LÄN</t>
        </is>
      </c>
      <c r="G281" t="inlineStr">
        <is>
          <t>MUNKEDAL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45322</v>
      </c>
      <c r="E282" s="1" t="n">
        <v>46315</v>
      </c>
      <c r="F282" t="inlineStr">
        <is>
          <t>VÄSTRA GÖTALANDS LÄN</t>
        </is>
      </c>
      <c r="G282" t="inlineStr">
        <is>
          <t>MUNKEDAL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45400</v>
      </c>
      <c r="E283" s="1" t="n">
        <v>46315</v>
      </c>
      <c r="F283" t="inlineStr">
        <is>
          <t>VÄSTRA GÖTALANDS LÄN</t>
        </is>
      </c>
      <c r="G283" t="inlineStr">
        <is>
          <t>MUNKEDAL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44606</v>
      </c>
      <c r="E284" s="1" t="n">
        <v>46315</v>
      </c>
      <c r="F284" t="inlineStr">
        <is>
          <t>VÄSTRA GÖTALANDS LÄN</t>
        </is>
      </c>
      <c r="G284" t="inlineStr">
        <is>
          <t>MUNKEDAL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45489</v>
      </c>
      <c r="E285" s="1" t="n">
        <v>46315</v>
      </c>
      <c r="F285" t="inlineStr">
        <is>
          <t>VÄSTRA GÖTALANDS LÄN</t>
        </is>
      </c>
      <c r="G285" t="inlineStr">
        <is>
          <t>MUNKEDAL</t>
        </is>
      </c>
      <c r="I285" t="n">
        <v>10.3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46315</v>
      </c>
      <c r="F286" t="inlineStr">
        <is>
          <t>VÄSTRA GÖTALANDS LÄN</t>
        </is>
      </c>
      <c r="G286" t="inlineStr">
        <is>
          <t>MUNKEDAL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46315</v>
      </c>
      <c r="F287" t="inlineStr">
        <is>
          <t>VÄSTRA GÖTALANDS LÄN</t>
        </is>
      </c>
      <c r="G287" t="inlineStr">
        <is>
          <t>MUNKEDAL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46315</v>
      </c>
      <c r="F288" t="inlineStr">
        <is>
          <t>VÄSTRA GÖTALANDS LÄN</t>
        </is>
      </c>
      <c r="G288" t="inlineStr">
        <is>
          <t>MUNKEDAL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62090-2023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46315</v>
      </c>
      <c r="F289" t="inlineStr">
        <is>
          <t>VÄSTRA GÖTALANDS LÄN</t>
        </is>
      </c>
      <c r="G289" t="inlineStr">
        <is>
          <t>MUNKEDAL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45084</v>
      </c>
      <c r="E290" s="1" t="n">
        <v>46315</v>
      </c>
      <c r="F290" t="inlineStr">
        <is>
          <t>VÄSTRA GÖTALANDS LÄN</t>
        </is>
      </c>
      <c r="G290" t="inlineStr">
        <is>
          <t>MUNKEDAL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46315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46315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45076</v>
      </c>
      <c r="E293" s="1" t="n">
        <v>46315</v>
      </c>
      <c r="F293" t="inlineStr">
        <is>
          <t>VÄSTRA GÖTALANDS LÄN</t>
        </is>
      </c>
      <c r="G293" t="inlineStr">
        <is>
          <t>MUNKEDAL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46315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16.7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46209</v>
      </c>
      <c r="E295" s="1" t="n">
        <v>46315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46315</v>
      </c>
      <c r="F296" t="inlineStr">
        <is>
          <t>VÄSTRA GÖTALANDS LÄN</t>
        </is>
      </c>
      <c r="G296" t="inlineStr">
        <is>
          <t>MUNKEDAL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46315</v>
      </c>
      <c r="F297" t="inlineStr">
        <is>
          <t>VÄSTRA GÖTALANDS LÄN</t>
        </is>
      </c>
      <c r="G297" t="inlineStr">
        <is>
          <t>MUNKEDAL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44861</v>
      </c>
      <c r="E298" s="1" t="n">
        <v>46315</v>
      </c>
      <c r="F298" t="inlineStr">
        <is>
          <t>VÄSTRA GÖTALANDS LÄN</t>
        </is>
      </c>
      <c r="G298" t="inlineStr">
        <is>
          <t>MUNKEDAL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46315</v>
      </c>
      <c r="F299" t="inlineStr">
        <is>
          <t>VÄSTRA GÖTALANDS LÄN</t>
        </is>
      </c>
      <c r="G299" t="inlineStr">
        <is>
          <t>MUNKEDAL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44580</v>
      </c>
      <c r="E300" s="1" t="n">
        <v>46315</v>
      </c>
      <c r="F300" t="inlineStr">
        <is>
          <t>VÄSTRA GÖTALANDS LÄN</t>
        </is>
      </c>
      <c r="G300" t="inlineStr">
        <is>
          <t>MUNKEDAL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46315</v>
      </c>
      <c r="F301" t="inlineStr">
        <is>
          <t>VÄSTRA GÖTALANDS LÄN</t>
        </is>
      </c>
      <c r="G301" t="inlineStr">
        <is>
          <t>MUNKEDAL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45049</v>
      </c>
      <c r="E302" s="1" t="n">
        <v>46315</v>
      </c>
      <c r="F302" t="inlineStr">
        <is>
          <t>VÄSTRA GÖTALANDS LÄN</t>
        </is>
      </c>
      <c r="G302" t="inlineStr">
        <is>
          <t>MUNKEDAL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46217</v>
      </c>
      <c r="E303" s="1" t="n">
        <v>46315</v>
      </c>
      <c r="F303" t="inlineStr">
        <is>
          <t>VÄSTRA GÖTALANDS LÄN</t>
        </is>
      </c>
      <c r="G303" t="inlineStr">
        <is>
          <t>MUNKEDAL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46217</v>
      </c>
      <c r="E304" s="1" t="n">
        <v>46315</v>
      </c>
      <c r="F304" t="inlineStr">
        <is>
          <t>VÄSTRA GÖTALANDS LÄN</t>
        </is>
      </c>
      <c r="G304" t="inlineStr">
        <is>
          <t>MUNKEDAL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45070</v>
      </c>
      <c r="E305" s="1" t="n">
        <v>46315</v>
      </c>
      <c r="F305" t="inlineStr">
        <is>
          <t>VÄSTRA GÖTALANDS LÄN</t>
        </is>
      </c>
      <c r="G305" t="inlineStr">
        <is>
          <t>MUNKEDAL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46315</v>
      </c>
      <c r="F306" t="inlineStr">
        <is>
          <t>VÄSTRA GÖTALANDS LÄN</t>
        </is>
      </c>
      <c r="G306" t="inlineStr">
        <is>
          <t>MUNKEDAL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46315</v>
      </c>
      <c r="F307" t="inlineStr">
        <is>
          <t>VÄSTRA GÖTALANDS LÄN</t>
        </is>
      </c>
      <c r="G307" t="inlineStr">
        <is>
          <t>MUNKEDAL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46315</v>
      </c>
      <c r="F308" t="inlineStr">
        <is>
          <t>VÄSTRA GÖTALANDS LÄN</t>
        </is>
      </c>
      <c r="G308" t="inlineStr">
        <is>
          <t>MUNKEDAL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45618</v>
      </c>
      <c r="E309" s="1" t="n">
        <v>46315</v>
      </c>
      <c r="F309" t="inlineStr">
        <is>
          <t>VÄSTRA GÖTALANDS LÄN</t>
        </is>
      </c>
      <c r="G309" t="inlineStr">
        <is>
          <t>MUNKEDAL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46274</v>
      </c>
      <c r="E310" s="1" t="n">
        <v>46315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46315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Naturvårdsverket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46315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45268</v>
      </c>
      <c r="E313" s="1" t="n">
        <v>46315</v>
      </c>
      <c r="F313" t="inlineStr">
        <is>
          <t>VÄSTRA GÖTALANDS LÄN</t>
        </is>
      </c>
      <c r="G313" t="inlineStr">
        <is>
          <t>MUNKEDAL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46273</v>
      </c>
      <c r="E314" s="1" t="n">
        <v>46315</v>
      </c>
      <c r="F314" t="inlineStr">
        <is>
          <t>VÄSTRA GÖTALANDS LÄN</t>
        </is>
      </c>
      <c r="G314" t="inlineStr">
        <is>
          <t>MUNKEDAL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46315</v>
      </c>
      <c r="F315" t="inlineStr">
        <is>
          <t>VÄSTRA GÖTALANDS LÄN</t>
        </is>
      </c>
      <c r="G315" t="inlineStr">
        <is>
          <t>MUNKEDAL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44946</v>
      </c>
      <c r="E316" s="1" t="n">
        <v>46315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44747</v>
      </c>
      <c r="E317" s="1" t="n">
        <v>46315</v>
      </c>
      <c r="F317" t="inlineStr">
        <is>
          <t>VÄSTRA GÖTALANDS LÄN</t>
        </is>
      </c>
      <c r="G317" t="inlineStr">
        <is>
          <t>MUNKEDAL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45488</v>
      </c>
      <c r="E318" s="1" t="n">
        <v>46315</v>
      </c>
      <c r="F318" t="inlineStr">
        <is>
          <t>VÄSTRA GÖTALANDS LÄN</t>
        </is>
      </c>
      <c r="G318" t="inlineStr">
        <is>
          <t>MUNKEDAL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46315</v>
      </c>
      <c r="F319" t="inlineStr">
        <is>
          <t>VÄSTRA GÖTALANDS LÄN</t>
        </is>
      </c>
      <c r="G319" t="inlineStr">
        <is>
          <t>MUNKEDAL</t>
        </is>
      </c>
      <c r="I319" t="n">
        <v>20.2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46315</v>
      </c>
      <c r="F320" t="inlineStr">
        <is>
          <t>VÄSTRA GÖTALANDS LÄN</t>
        </is>
      </c>
      <c r="G320" t="inlineStr">
        <is>
          <t>MUNKEDAL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45456</v>
      </c>
      <c r="E321" s="1" t="n">
        <v>46315</v>
      </c>
      <c r="F321" t="inlineStr">
        <is>
          <t>VÄSTRA GÖTALANDS LÄN</t>
        </is>
      </c>
      <c r="G321" t="inlineStr">
        <is>
          <t>MUNKEDAL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46315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46315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45540</v>
      </c>
      <c r="E324" s="1" t="n">
        <v>46315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32538-2026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46239</v>
      </c>
      <c r="E325" s="1" t="n">
        <v>46315</v>
      </c>
      <c r="F325" t="inlineStr">
        <is>
          <t>VÄSTRA GÖTALANDS LÄN</t>
        </is>
      </c>
      <c r="G325" t="inlineStr">
        <is>
          <t>MUNKEDAL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46315</v>
      </c>
      <c r="F326" t="inlineStr">
        <is>
          <t>VÄSTRA GÖTALANDS LÄN</t>
        </is>
      </c>
      <c r="G326" t="inlineStr">
        <is>
          <t>MUNKEDAL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46286</v>
      </c>
      <c r="E327" s="1" t="n">
        <v>46315</v>
      </c>
      <c r="F327" t="inlineStr">
        <is>
          <t>VÄSTRA GÖTALANDS LÄN</t>
        </is>
      </c>
      <c r="G327" t="inlineStr">
        <is>
          <t>MUNKEDAL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45120</v>
      </c>
      <c r="E328" s="1" t="n">
        <v>46315</v>
      </c>
      <c r="F328" t="inlineStr">
        <is>
          <t>VÄSTRA GÖTALANDS LÄN</t>
        </is>
      </c>
      <c r="G328" t="inlineStr">
        <is>
          <t>MUNKEDAL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46315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46315</v>
      </c>
      <c r="F330" t="inlineStr">
        <is>
          <t>VÄSTRA GÖTALANDS LÄN</t>
        </is>
      </c>
      <c r="G330" t="inlineStr">
        <is>
          <t>MUNKEDAL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46276</v>
      </c>
      <c r="E331" s="1" t="n">
        <v>46315</v>
      </c>
      <c r="F331" t="inlineStr">
        <is>
          <t>VÄSTRA GÖTALANDS LÄN</t>
        </is>
      </c>
      <c r="G331" t="inlineStr">
        <is>
          <t>MUNKEDAL</t>
        </is>
      </c>
      <c r="I331" t="n">
        <v>11.8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46315</v>
      </c>
      <c r="F332" t="inlineStr">
        <is>
          <t>VÄSTRA GÖTALANDS LÄN</t>
        </is>
      </c>
      <c r="G332" t="inlineStr">
        <is>
          <t>MUNKEDAL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46244</v>
      </c>
      <c r="E333" s="1" t="n">
        <v>46315</v>
      </c>
      <c r="F333" t="inlineStr">
        <is>
          <t>VÄSTRA GÖTALANDS LÄN</t>
        </is>
      </c>
      <c r="G333" t="inlineStr">
        <is>
          <t>MUNKEDAL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46315</v>
      </c>
      <c r="F334" t="inlineStr">
        <is>
          <t>VÄSTRA GÖTALANDS LÄN</t>
        </is>
      </c>
      <c r="G334" t="inlineStr">
        <is>
          <t>MUNKEDAL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46288</v>
      </c>
      <c r="E335" s="1" t="n">
        <v>46315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46247</v>
      </c>
      <c r="E336" s="1" t="n">
        <v>46315</v>
      </c>
      <c r="F336" t="inlineStr">
        <is>
          <t>VÄSTRA GÖTALANDS LÄN</t>
        </is>
      </c>
      <c r="G336" t="inlineStr">
        <is>
          <t>MUNKEDAL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46315</v>
      </c>
      <c r="F337" t="inlineStr">
        <is>
          <t>VÄSTRA GÖTALANDS LÄN</t>
        </is>
      </c>
      <c r="G337" t="inlineStr">
        <is>
          <t>MUNKEDAL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45063</v>
      </c>
      <c r="E338" s="1" t="n">
        <v>46315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46175</v>
      </c>
      <c r="E339" s="1" t="n">
        <v>46315</v>
      </c>
      <c r="F339" t="inlineStr">
        <is>
          <t>VÄSTRA GÖTALANDS LÄN</t>
        </is>
      </c>
      <c r="G339" t="inlineStr">
        <is>
          <t>MUNKEDAL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44630</v>
      </c>
      <c r="E340" s="1" t="n">
        <v>46315</v>
      </c>
      <c r="F340" t="inlineStr">
        <is>
          <t>VÄSTRA GÖTALANDS LÄN</t>
        </is>
      </c>
      <c r="G340" t="inlineStr">
        <is>
          <t>MUNKEDAL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45620</v>
      </c>
      <c r="E341" s="1" t="n">
        <v>46315</v>
      </c>
      <c r="F341" t="inlineStr">
        <is>
          <t>VÄSTRA GÖTALANDS LÄN</t>
        </is>
      </c>
      <c r="G341" t="inlineStr">
        <is>
          <t>MUNKEDAL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45674</v>
      </c>
      <c r="E342" s="1" t="n">
        <v>46315</v>
      </c>
      <c r="F342" t="inlineStr">
        <is>
          <t>VÄSTRA GÖTALANDS LÄN</t>
        </is>
      </c>
      <c r="G342" t="inlineStr">
        <is>
          <t>MUNKEDAL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46315</v>
      </c>
      <c r="F343" t="inlineStr">
        <is>
          <t>VÄSTRA GÖTALANDS LÄN</t>
        </is>
      </c>
      <c r="G343" t="inlineStr">
        <is>
          <t>MUNKEDAL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46294</v>
      </c>
      <c r="E344" s="1" t="n">
        <v>46315</v>
      </c>
      <c r="F344" t="inlineStr">
        <is>
          <t>VÄSTRA GÖTALANDS LÄN</t>
        </is>
      </c>
      <c r="G344" t="inlineStr">
        <is>
          <t>MUNKEDAL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44920</v>
      </c>
      <c r="E345" s="1" t="n">
        <v>46315</v>
      </c>
      <c r="F345" t="inlineStr">
        <is>
          <t>VÄSTRA GÖTALANDS LÄN</t>
        </is>
      </c>
      <c r="G345" t="inlineStr">
        <is>
          <t>MUNKEDAL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62101-2022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44920</v>
      </c>
      <c r="E346" s="1" t="n">
        <v>46315</v>
      </c>
      <c r="F346" t="inlineStr">
        <is>
          <t>VÄSTRA GÖTALANDS LÄN</t>
        </is>
      </c>
      <c r="G346" t="inlineStr">
        <is>
          <t>MUNKEDAL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40789-2026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46294</v>
      </c>
      <c r="E347" s="1" t="n">
        <v>46315</v>
      </c>
      <c r="F347" t="inlineStr">
        <is>
          <t>VÄSTRA GÖTALANDS LÄN</t>
        </is>
      </c>
      <c r="G347" t="inlineStr">
        <is>
          <t>MUNKEDAL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46315</v>
      </c>
      <c r="F348" t="inlineStr">
        <is>
          <t>VÄSTRA GÖTALANDS LÄN</t>
        </is>
      </c>
      <c r="G348" t="inlineStr">
        <is>
          <t>MUNKEDAL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45306</v>
      </c>
      <c r="E349" s="1" t="n">
        <v>46315</v>
      </c>
      <c r="F349" t="inlineStr">
        <is>
          <t>VÄSTRA GÖTALANDS LÄN</t>
        </is>
      </c>
      <c r="G349" t="inlineStr">
        <is>
          <t>MUNKEDAL</t>
        </is>
      </c>
      <c r="I349" t="n">
        <v>25.2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46294</v>
      </c>
      <c r="E350" s="1" t="n">
        <v>46315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45684</v>
      </c>
      <c r="E351" s="1" t="n">
        <v>46315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Kommuner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46254</v>
      </c>
      <c r="E352" s="1" t="n">
        <v>46315</v>
      </c>
      <c r="F352" t="inlineStr">
        <is>
          <t>VÄSTRA GÖTALANDS LÄN</t>
        </is>
      </c>
      <c r="G352" t="inlineStr">
        <is>
          <t>MUNKEDAL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45264</v>
      </c>
      <c r="E353" s="1" t="n">
        <v>46315</v>
      </c>
      <c r="F353" t="inlineStr">
        <is>
          <t>VÄSTRA GÖTALANDS LÄN</t>
        </is>
      </c>
      <c r="G353" t="inlineStr">
        <is>
          <t>MUNKEDAL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46253</v>
      </c>
      <c r="E354" s="1" t="n">
        <v>46315</v>
      </c>
      <c r="F354" t="inlineStr">
        <is>
          <t>VÄSTRA GÖTALANDS LÄN</t>
        </is>
      </c>
      <c r="G354" t="inlineStr">
        <is>
          <t>MUNKEDAL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46315</v>
      </c>
      <c r="F355" t="inlineStr">
        <is>
          <t>VÄSTRA GÖTALANDS LÄN</t>
        </is>
      </c>
      <c r="G355" t="inlineStr">
        <is>
          <t>MUNKEDAL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46315</v>
      </c>
      <c r="F356" t="inlineStr">
        <is>
          <t>VÄSTRA GÖTALANDS LÄN</t>
        </is>
      </c>
      <c r="G356" t="inlineStr">
        <is>
          <t>MUNKEDAL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46315</v>
      </c>
      <c r="F357" t="inlineStr">
        <is>
          <t>VÄSTRA GÖTALANDS LÄN</t>
        </is>
      </c>
      <c r="G357" t="inlineStr">
        <is>
          <t>MUNKEDAL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46315</v>
      </c>
      <c r="F358" t="inlineStr">
        <is>
          <t>VÄSTRA GÖTALANDS LÄN</t>
        </is>
      </c>
      <c r="G358" t="inlineStr">
        <is>
          <t>MUNKEDAL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46295</v>
      </c>
      <c r="E359" s="1" t="n">
        <v>46315</v>
      </c>
      <c r="F359" t="inlineStr">
        <is>
          <t>VÄSTRA GÖTALANDS LÄN</t>
        </is>
      </c>
      <c r="G359" t="inlineStr">
        <is>
          <t>MUNKEDAL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45215</v>
      </c>
      <c r="E360" s="1" t="n">
        <v>46315</v>
      </c>
      <c r="F360" t="inlineStr">
        <is>
          <t>VÄSTRA GÖTALANDS LÄN</t>
        </is>
      </c>
      <c r="G360" t="inlineStr">
        <is>
          <t>MUNKEDAL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46315</v>
      </c>
      <c r="F361" t="inlineStr">
        <is>
          <t>VÄSTRA GÖTALANDS LÄN</t>
        </is>
      </c>
      <c r="G361" t="inlineStr">
        <is>
          <t>MUNKEDAL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46315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12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44698</v>
      </c>
      <c r="E363" s="1" t="n">
        <v>46315</v>
      </c>
      <c r="F363" t="inlineStr">
        <is>
          <t>VÄSTRA GÖTALANDS LÄN</t>
        </is>
      </c>
      <c r="G363" t="inlineStr">
        <is>
          <t>MUNKEDAL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46315</v>
      </c>
      <c r="F364" t="inlineStr">
        <is>
          <t>VÄSTRA GÖTALANDS LÄN</t>
        </is>
      </c>
      <c r="G364" t="inlineStr">
        <is>
          <t>MUNKEDAL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45614</v>
      </c>
      <c r="E365" s="1" t="n">
        <v>46315</v>
      </c>
      <c r="F365" t="inlineStr">
        <is>
          <t>VÄSTRA GÖTALANDS LÄN</t>
        </is>
      </c>
      <c r="G365" t="inlineStr">
        <is>
          <t>MUNKEDAL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45778</v>
      </c>
      <c r="E366" s="1" t="n">
        <v>46315</v>
      </c>
      <c r="F366" t="inlineStr">
        <is>
          <t>VÄSTRA GÖTALANDS LÄN</t>
        </is>
      </c>
      <c r="G366" t="inlineStr">
        <is>
          <t>MUNKEDAL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46315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46315</v>
      </c>
      <c r="F368" t="inlineStr">
        <is>
          <t>VÄSTRA GÖTALANDS LÄN</t>
        </is>
      </c>
      <c r="G368" t="inlineStr">
        <is>
          <t>MUNKEDAL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46315</v>
      </c>
      <c r="F369" t="inlineStr">
        <is>
          <t>VÄSTRA GÖTALANDS LÄN</t>
        </is>
      </c>
      <c r="G369" t="inlineStr">
        <is>
          <t>MUNKEDAL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46315</v>
      </c>
      <c r="F370" t="inlineStr">
        <is>
          <t>VÄSTRA GÖTALANDS LÄN</t>
        </is>
      </c>
      <c r="G370" t="inlineStr">
        <is>
          <t>MUNKEDAL</t>
        </is>
      </c>
      <c r="I370" t="n">
        <v>12.7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45408</v>
      </c>
      <c r="E371" s="1" t="n">
        <v>46315</v>
      </c>
      <c r="F371" t="inlineStr">
        <is>
          <t>VÄSTRA GÖTALANDS LÄN</t>
        </is>
      </c>
      <c r="G371" t="inlineStr">
        <is>
          <t>MUNKEDAL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46315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45721</v>
      </c>
      <c r="E373" s="1" t="n">
        <v>46315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46315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26.5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45792</v>
      </c>
      <c r="E375" s="1" t="n">
        <v>46315</v>
      </c>
      <c r="F375" t="inlineStr">
        <is>
          <t>VÄSTRA GÖTALANDS LÄN</t>
        </is>
      </c>
      <c r="G375" t="inlineStr">
        <is>
          <t>MUNKEDAL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6222-2025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45696</v>
      </c>
      <c r="E376" s="1" t="n">
        <v>46315</v>
      </c>
      <c r="F376" t="inlineStr">
        <is>
          <t>VÄSTRA GÖTALANDS LÄN</t>
        </is>
      </c>
      <c r="G376" t="inlineStr">
        <is>
          <t>MUNKEDAL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46297</v>
      </c>
      <c r="E377" s="1" t="n">
        <v>46315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45797</v>
      </c>
      <c r="E378" s="1" t="n">
        <v>46315</v>
      </c>
      <c r="F378" t="inlineStr">
        <is>
          <t>VÄSTRA GÖTALANDS LÄN</t>
        </is>
      </c>
      <c r="G378" t="inlineStr">
        <is>
          <t>MUNKEDAL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46315</v>
      </c>
      <c r="F379" t="inlineStr">
        <is>
          <t>VÄSTRA GÖTALANDS LÄN</t>
        </is>
      </c>
      <c r="G379" t="inlineStr">
        <is>
          <t>MUNKEDAL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46315</v>
      </c>
      <c r="F380" t="inlineStr">
        <is>
          <t>VÄSTRA GÖTALANDS LÄN</t>
        </is>
      </c>
      <c r="G380" t="inlineStr">
        <is>
          <t>MUNKEDAL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51411-2022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44866</v>
      </c>
      <c r="E381" s="1" t="n">
        <v>46315</v>
      </c>
      <c r="F381" t="inlineStr">
        <is>
          <t>VÄSTRA GÖTALANDS LÄN</t>
        </is>
      </c>
      <c r="G381" t="inlineStr">
        <is>
          <t>MUNKEDAL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45189</v>
      </c>
      <c r="E382" s="1" t="n">
        <v>46315</v>
      </c>
      <c r="F382" t="inlineStr">
        <is>
          <t>VÄSTRA GÖTALANDS LÄN</t>
        </is>
      </c>
      <c r="G382" t="inlineStr">
        <is>
          <t>MUNKEDAL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46315</v>
      </c>
      <c r="F383" t="inlineStr">
        <is>
          <t>VÄSTRA GÖTALANDS LÄN</t>
        </is>
      </c>
      <c r="G383" t="inlineStr">
        <is>
          <t>MUNKEDAL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46315</v>
      </c>
      <c r="F384" t="inlineStr">
        <is>
          <t>VÄSTRA GÖTALANDS LÄN</t>
        </is>
      </c>
      <c r="G384" t="inlineStr">
        <is>
          <t>MUNKEDAL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45800</v>
      </c>
      <c r="E385" s="1" t="n">
        <v>46315</v>
      </c>
      <c r="F385" t="inlineStr">
        <is>
          <t>VÄSTRA GÖTALANDS LÄN</t>
        </is>
      </c>
      <c r="G385" t="inlineStr">
        <is>
          <t>MUNKEDAL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46303</v>
      </c>
      <c r="E386" s="1" t="n">
        <v>46315</v>
      </c>
      <c r="F386" t="inlineStr">
        <is>
          <t>VÄSTRA GÖTALANDS LÄN</t>
        </is>
      </c>
      <c r="G386" t="inlineStr">
        <is>
          <t>MUNKEDAL</t>
        </is>
      </c>
      <c r="I386" t="n">
        <v>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46315</v>
      </c>
      <c r="F387" t="inlineStr">
        <is>
          <t>VÄSTRA GÖTALANDS LÄN</t>
        </is>
      </c>
      <c r="G387" t="inlineStr">
        <is>
          <t>MUNKEDAL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46302</v>
      </c>
      <c r="E388" s="1" t="n">
        <v>46315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19631-2022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46315</v>
      </c>
      <c r="F389" t="inlineStr">
        <is>
          <t>VÄSTRA GÖTALANDS LÄN</t>
        </is>
      </c>
      <c r="G389" t="inlineStr">
        <is>
          <t>MUNKEDAL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46308</v>
      </c>
      <c r="E390" s="1" t="n">
        <v>46315</v>
      </c>
      <c r="F390" t="inlineStr">
        <is>
          <t>VÄSTRA GÖTALANDS LÄN</t>
        </is>
      </c>
      <c r="G390" t="inlineStr">
        <is>
          <t>MUNKEDAL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46308</v>
      </c>
      <c r="E391" s="1" t="n">
        <v>46315</v>
      </c>
      <c r="F391" t="inlineStr">
        <is>
          <t>VÄSTRA GÖTALANDS LÄN</t>
        </is>
      </c>
      <c r="G391" t="inlineStr">
        <is>
          <t>MUNKEDAL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45625</v>
      </c>
      <c r="E392" s="1" t="n">
        <v>46315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Kyrkan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40647-2024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45557</v>
      </c>
      <c r="E393" s="1" t="n">
        <v>46315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46315</v>
      </c>
      <c r="F394" t="inlineStr">
        <is>
          <t>VÄSTRA GÖTALANDS LÄN</t>
        </is>
      </c>
      <c r="G394" t="inlineStr">
        <is>
          <t>MUNKEDAL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45826</v>
      </c>
      <c r="E395" s="1" t="n">
        <v>46315</v>
      </c>
      <c r="F395" t="inlineStr">
        <is>
          <t>VÄSTRA GÖTALANDS LÄN</t>
        </is>
      </c>
      <c r="G395" t="inlineStr">
        <is>
          <t>MUNKEDAL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46315</v>
      </c>
      <c r="F396" t="inlineStr">
        <is>
          <t>VÄSTRA GÖTALANDS LÄN</t>
        </is>
      </c>
      <c r="G396" t="inlineStr">
        <is>
          <t>MUNKEDAL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46315</v>
      </c>
      <c r="F397" t="inlineStr">
        <is>
          <t>VÄSTRA GÖTALANDS LÄN</t>
        </is>
      </c>
      <c r="G397" t="inlineStr">
        <is>
          <t>MUNKEDAL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46267</v>
      </c>
      <c r="E398" s="1" t="n">
        <v>46315</v>
      </c>
      <c r="F398" t="inlineStr">
        <is>
          <t>VÄSTRA GÖTALANDS LÄN</t>
        </is>
      </c>
      <c r="G398" t="inlineStr">
        <is>
          <t>MUNKEDAL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46315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43129-2026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46311</v>
      </c>
      <c r="E400" s="1" t="n">
        <v>46315</v>
      </c>
      <c r="F400" t="inlineStr">
        <is>
          <t>VÄSTRA GÖTALANDS LÄN</t>
        </is>
      </c>
      <c r="G400" t="inlineStr">
        <is>
          <t>MUNKEDAL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46315</v>
      </c>
      <c r="F401" t="inlineStr">
        <is>
          <t>VÄSTRA GÖTALANDS LÄN</t>
        </is>
      </c>
      <c r="G401" t="inlineStr">
        <is>
          <t>MUNKEDAL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46315</v>
      </c>
      <c r="F402" t="inlineStr">
        <is>
          <t>VÄSTRA GÖTALANDS LÄN</t>
        </is>
      </c>
      <c r="G402" t="inlineStr">
        <is>
          <t>MUNKEDAL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46315</v>
      </c>
      <c r="F403" t="inlineStr">
        <is>
          <t>VÄSTRA GÖTALANDS LÄN</t>
        </is>
      </c>
      <c r="G403" t="inlineStr">
        <is>
          <t>MUNKEDAL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46315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46315</v>
      </c>
      <c r="F405" t="inlineStr">
        <is>
          <t>VÄSTRA GÖTALANDS LÄN</t>
        </is>
      </c>
      <c r="G405" t="inlineStr">
        <is>
          <t>MUNKEDAL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46315</v>
      </c>
      <c r="F406" t="inlineStr">
        <is>
          <t>VÄSTRA GÖTALANDS LÄN</t>
        </is>
      </c>
      <c r="G406" t="inlineStr">
        <is>
          <t>MUNKEDAL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46315</v>
      </c>
      <c r="F407" t="inlineStr">
        <is>
          <t>VÄSTRA GÖTALANDS LÄN</t>
        </is>
      </c>
      <c r="G407" t="inlineStr">
        <is>
          <t>MUNKEDAL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46315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45351</v>
      </c>
      <c r="E409" s="1" t="n">
        <v>46315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29588-2024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46315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45709</v>
      </c>
      <c r="E411" s="1" t="n">
        <v>46315</v>
      </c>
      <c r="F411" t="inlineStr">
        <is>
          <t>VÄSTRA GÖTALANDS LÄN</t>
        </is>
      </c>
      <c r="G411" t="inlineStr">
        <is>
          <t>MUNKEDAL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46315</v>
      </c>
      <c r="F412" t="inlineStr">
        <is>
          <t>VÄSTRA GÖTALANDS LÄN</t>
        </is>
      </c>
      <c r="G412" t="inlineStr">
        <is>
          <t>MUNKEDAL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2558-2022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44697</v>
      </c>
      <c r="E413" s="1" t="n">
        <v>46315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2428-2024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45469</v>
      </c>
      <c r="E414" s="1" t="n">
        <v>46315</v>
      </c>
      <c r="F414" t="inlineStr">
        <is>
          <t>VÄSTRA GÖTALANDS LÄN</t>
        </is>
      </c>
      <c r="G414" t="inlineStr">
        <is>
          <t>MUNKEDAL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4047-2023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45240</v>
      </c>
      <c r="E415" s="1" t="n">
        <v>46315</v>
      </c>
      <c r="F415" t="inlineStr">
        <is>
          <t>VÄSTRA GÖTALANDS LÄN</t>
        </is>
      </c>
      <c r="G415" t="inlineStr">
        <is>
          <t>MUNKEDAL</t>
        </is>
      </c>
      <c r="I415" t="n">
        <v>17.1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1070-2025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45749</v>
      </c>
      <c r="E416" s="1" t="n">
        <v>46315</v>
      </c>
      <c r="F416" t="inlineStr">
        <is>
          <t>VÄSTRA GÖTALANDS LÄN</t>
        </is>
      </c>
      <c r="G416" t="inlineStr">
        <is>
          <t>MUNKEDAL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1617-2025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45799</v>
      </c>
      <c r="E417" s="1" t="n">
        <v>46315</v>
      </c>
      <c r="F417" t="inlineStr">
        <is>
          <t>VÄSTRA GÖTALANDS LÄN</t>
        </is>
      </c>
      <c r="G417" t="inlineStr">
        <is>
          <t>MUNKEDAL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2026-10-20T01:49:52Z</dcterms:created>
  <dcterms:modified xmlns:dcterms="http://purl.org/dc/terms/" xmlns:xsi="http://www.w3.org/2001/XMLSchema-instance" xsi:type="dcterms:W3CDTF">2026-10-20T01:49:52Z</dcterms:modified>
</cp:coreProperties>
</file>