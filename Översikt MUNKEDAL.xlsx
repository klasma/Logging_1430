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45294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45294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45294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</row>
    <row r="5" ht="15" customHeight="1">
      <c r="A5" t="inlineStr">
        <is>
          <t>A 1067-2020</t>
        </is>
      </c>
      <c r="B5" s="1" t="n">
        <v>43819</v>
      </c>
      <c r="C5" s="1" t="n">
        <v>45294</v>
      </c>
      <c r="D5" t="inlineStr">
        <is>
          <t>VÄSTRA GÖTALANDS LÄN</t>
        </is>
      </c>
      <c r="E5" t="inlineStr">
        <is>
          <t>MUNKEDAL</t>
        </is>
      </c>
      <c r="G5" t="n">
        <v>7.2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Klippfrullania
Blåsippa</t>
        </is>
      </c>
      <c r="S5">
        <f>HYPERLINK("https://klasma.github.io/Logging_1430/artfynd/A 1067-2020 artfynd.xlsx", "A 1067-2020")</f>
        <v/>
      </c>
      <c r="T5">
        <f>HYPERLINK("https://klasma.github.io/Logging_1430/kartor/A 1067-2020 karta.png", "A 1067-2020")</f>
        <v/>
      </c>
      <c r="V5">
        <f>HYPERLINK("https://klasma.github.io/Logging_1430/klagomål/A 1067-2020 FSC-klagomål.docx", "A 1067-2020")</f>
        <v/>
      </c>
      <c r="W5">
        <f>HYPERLINK("https://klasma.github.io/Logging_1430/klagomålsmail/A 1067-2020 FSC-klagomål mail.docx", "A 1067-2020")</f>
        <v/>
      </c>
      <c r="X5">
        <f>HYPERLINK("https://klasma.github.io/Logging_1430/tillsyn/A 1067-2020 tillsynsbegäran.docx", "A 1067-2020")</f>
        <v/>
      </c>
      <c r="Y5">
        <f>HYPERLINK("https://klasma.github.io/Logging_1430/tillsynsmail/A 1067-2020 tillsynsbegäran mail.docx", "A 1067-2020")</f>
        <v/>
      </c>
    </row>
    <row r="6" ht="15" customHeight="1">
      <c r="A6" t="inlineStr">
        <is>
          <t>A 5516-2020</t>
        </is>
      </c>
      <c r="B6" s="1" t="n">
        <v>43858</v>
      </c>
      <c r="C6" s="1" t="n">
        <v>45294</v>
      </c>
      <c r="D6" t="inlineStr">
        <is>
          <t>VÄSTRA GÖTALANDS LÄN</t>
        </is>
      </c>
      <c r="E6" t="inlineStr">
        <is>
          <t>MUNKEDAL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Barkkornlav
Fällmossa
Klippfrullania</t>
        </is>
      </c>
      <c r="S6">
        <f>HYPERLINK("https://klasma.github.io/Logging_1430/artfynd/A 5516-2020 artfynd.xlsx", "A 5516-2020")</f>
        <v/>
      </c>
      <c r="T6">
        <f>HYPERLINK("https://klasma.github.io/Logging_1430/kartor/A 5516-2020 karta.png", "A 5516-2020")</f>
        <v/>
      </c>
      <c r="V6">
        <f>HYPERLINK("https://klasma.github.io/Logging_1430/klagomål/A 5516-2020 FSC-klagomål.docx", "A 5516-2020")</f>
        <v/>
      </c>
      <c r="W6">
        <f>HYPERLINK("https://klasma.github.io/Logging_1430/klagomålsmail/A 5516-2020 FSC-klagomål mail.docx", "A 5516-2020")</f>
        <v/>
      </c>
      <c r="X6">
        <f>HYPERLINK("https://klasma.github.io/Logging_1430/tillsyn/A 5516-2020 tillsynsbegäran.docx", "A 5516-2020")</f>
        <v/>
      </c>
      <c r="Y6">
        <f>HYPERLINK("https://klasma.github.io/Logging_1430/tillsynsmail/A 5516-2020 tillsynsbegäran mail.docx", "A 5516-2020")</f>
        <v/>
      </c>
    </row>
    <row r="7" ht="15" customHeight="1">
      <c r="A7" t="inlineStr">
        <is>
          <t>A 5490-2020</t>
        </is>
      </c>
      <c r="B7" s="1" t="n">
        <v>43858</v>
      </c>
      <c r="C7" s="1" t="n">
        <v>45294</v>
      </c>
      <c r="D7" t="inlineStr">
        <is>
          <t>VÄSTRA GÖTALANDS LÄN</t>
        </is>
      </c>
      <c r="E7" t="inlineStr">
        <is>
          <t>MUNKEDAL</t>
        </is>
      </c>
      <c r="G7" t="n">
        <v>4.2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5490-2020 artfynd.xlsx", "A 5490-2020")</f>
        <v/>
      </c>
      <c r="T7">
        <f>HYPERLINK("https://klasma.github.io/Logging_1430/kartor/A 5490-2020 karta.png", "A 5490-2020")</f>
        <v/>
      </c>
      <c r="V7">
        <f>HYPERLINK("https://klasma.github.io/Logging_1430/klagomål/A 5490-2020 FSC-klagomål.docx", "A 5490-2020")</f>
        <v/>
      </c>
      <c r="W7">
        <f>HYPERLINK("https://klasma.github.io/Logging_1430/klagomålsmail/A 5490-2020 FSC-klagomål mail.docx", "A 5490-2020")</f>
        <v/>
      </c>
      <c r="X7">
        <f>HYPERLINK("https://klasma.github.io/Logging_1430/tillsyn/A 5490-2020 tillsynsbegäran.docx", "A 5490-2020")</f>
        <v/>
      </c>
      <c r="Y7">
        <f>HYPERLINK("https://klasma.github.io/Logging_1430/tillsynsmail/A 5490-2020 tillsynsbegäran mail.docx", "A 5490-2020")</f>
        <v/>
      </c>
    </row>
    <row r="8" ht="15" customHeight="1">
      <c r="A8" t="inlineStr">
        <is>
          <t>A 41077-2019</t>
        </is>
      </c>
      <c r="B8" s="1" t="n">
        <v>43695</v>
      </c>
      <c r="C8" s="1" t="n">
        <v>45294</v>
      </c>
      <c r="D8" t="inlineStr">
        <is>
          <t>VÄSTRA GÖTALANDS LÄN</t>
        </is>
      </c>
      <c r="E8" t="inlineStr">
        <is>
          <t>MUNKEDAL</t>
        </is>
      </c>
      <c r="G8" t="n">
        <v>32.2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HYPERLINK("https://klasma.github.io/Logging_1430/artfynd/A 41077-2019 artfynd.xlsx", "A 41077-2019")</f>
        <v/>
      </c>
      <c r="T8">
        <f>HYPERLINK("https://klasma.github.io/Logging_1430/kartor/A 41077-2019 karta.png", "A 41077-2019")</f>
        <v/>
      </c>
      <c r="V8">
        <f>HYPERLINK("https://klasma.github.io/Logging_1430/klagomål/A 41077-2019 FSC-klagomål.docx", "A 41077-2019")</f>
        <v/>
      </c>
      <c r="W8">
        <f>HYPERLINK("https://klasma.github.io/Logging_1430/klagomålsmail/A 41077-2019 FSC-klagomål mail.docx", "A 41077-2019")</f>
        <v/>
      </c>
      <c r="X8">
        <f>HYPERLINK("https://klasma.github.io/Logging_1430/tillsyn/A 41077-2019 tillsynsbegäran.docx", "A 41077-2019")</f>
        <v/>
      </c>
      <c r="Y8">
        <f>HYPERLINK("https://klasma.github.io/Logging_1430/tillsynsmail/A 41077-2019 tillsynsbegäran mail.docx", "A 41077-2019")</f>
        <v/>
      </c>
    </row>
    <row r="9" ht="15" customHeight="1">
      <c r="A9" t="inlineStr">
        <is>
          <t>A 43665-2020</t>
        </is>
      </c>
      <c r="B9" s="1" t="n">
        <v>44078</v>
      </c>
      <c r="C9" s="1" t="n">
        <v>45294</v>
      </c>
      <c r="D9" t="inlineStr">
        <is>
          <t>VÄSTRA GÖTALANDS LÄN</t>
        </is>
      </c>
      <c r="E9" t="inlineStr">
        <is>
          <t>MUNKEDAL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HYPERLINK("https://klasma.github.io/Logging_1430/artfynd/A 43665-2020 artfynd.xlsx", "A 43665-2020")</f>
        <v/>
      </c>
      <c r="T9">
        <f>HYPERLINK("https://klasma.github.io/Logging_1430/kartor/A 43665-2020 karta.png", "A 43665-2020")</f>
        <v/>
      </c>
      <c r="V9">
        <f>HYPERLINK("https://klasma.github.io/Logging_1430/klagomål/A 43665-2020 FSC-klagomål.docx", "A 43665-2020")</f>
        <v/>
      </c>
      <c r="W9">
        <f>HYPERLINK("https://klasma.github.io/Logging_1430/klagomålsmail/A 43665-2020 FSC-klagomål mail.docx", "A 43665-2020")</f>
        <v/>
      </c>
      <c r="X9">
        <f>HYPERLINK("https://klasma.github.io/Logging_1430/tillsyn/A 43665-2020 tillsynsbegäran.docx", "A 43665-2020")</f>
        <v/>
      </c>
      <c r="Y9">
        <f>HYPERLINK("https://klasma.github.io/Logging_1430/tillsynsmail/A 43665-2020 tillsynsbegäran mail.docx", "A 43665-2020")</f>
        <v/>
      </c>
    </row>
    <row r="10" ht="15" customHeight="1">
      <c r="A10" t="inlineStr">
        <is>
          <t>A 24680-2021</t>
        </is>
      </c>
      <c r="B10" s="1" t="n">
        <v>44340</v>
      </c>
      <c r="C10" s="1" t="n">
        <v>45294</v>
      </c>
      <c r="D10" t="inlineStr">
        <is>
          <t>VÄSTRA GÖTALANDS LÄN</t>
        </is>
      </c>
      <c r="E10" t="inlineStr">
        <is>
          <t>MUNKEDAL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HYPERLINK("https://klasma.github.io/Logging_1430/artfynd/A 24680-2021 artfynd.xlsx", "A 24680-2021")</f>
        <v/>
      </c>
      <c r="T10">
        <f>HYPERLINK("https://klasma.github.io/Logging_1430/kartor/A 24680-2021 karta.png", "A 24680-2021")</f>
        <v/>
      </c>
      <c r="V10">
        <f>HYPERLINK("https://klasma.github.io/Logging_1430/klagomål/A 24680-2021 FSC-klagomål.docx", "A 24680-2021")</f>
        <v/>
      </c>
      <c r="W10">
        <f>HYPERLINK("https://klasma.github.io/Logging_1430/klagomålsmail/A 24680-2021 FSC-klagomål mail.docx", "A 24680-2021")</f>
        <v/>
      </c>
      <c r="X10">
        <f>HYPERLINK("https://klasma.github.io/Logging_1430/tillsyn/A 24680-2021 tillsynsbegäran.docx", "A 24680-2021")</f>
        <v/>
      </c>
      <c r="Y10">
        <f>HYPERLINK("https://klasma.github.io/Logging_1430/tillsynsmail/A 24680-2021 tillsynsbegäran mail.docx", "A 24680-2021")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45294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45294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26286-2022</t>
        </is>
      </c>
      <c r="B13" s="1" t="n">
        <v>44735</v>
      </c>
      <c r="C13" s="1" t="n">
        <v>45294</v>
      </c>
      <c r="D13" t="inlineStr">
        <is>
          <t>VÄSTRA GÖTALANDS LÄN</t>
        </is>
      </c>
      <c r="E13" t="inlineStr">
        <is>
          <t>MUNKEDAL</t>
        </is>
      </c>
      <c r="F13" t="inlineStr">
        <is>
          <t>Övriga Aktiebolag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Skogssvingel</t>
        </is>
      </c>
      <c r="S13">
        <f>HYPERLINK("https://klasma.github.io/Logging_1430/artfynd/A 26286-2022 artfynd.xlsx", "A 26286-2022")</f>
        <v/>
      </c>
      <c r="T13">
        <f>HYPERLINK("https://klasma.github.io/Logging_1430/kartor/A 26286-2022 karta.png", "A 26286-2022")</f>
        <v/>
      </c>
      <c r="V13">
        <f>HYPERLINK("https://klasma.github.io/Logging_1430/klagomål/A 26286-2022 FSC-klagomål.docx", "A 26286-2022")</f>
        <v/>
      </c>
      <c r="W13">
        <f>HYPERLINK("https://klasma.github.io/Logging_1430/klagomålsmail/A 26286-2022 FSC-klagomål mail.docx", "A 26286-2022")</f>
        <v/>
      </c>
      <c r="X13">
        <f>HYPERLINK("https://klasma.github.io/Logging_1430/tillsyn/A 26286-2022 tillsynsbegäran.docx", "A 26286-2022")</f>
        <v/>
      </c>
      <c r="Y13">
        <f>HYPERLINK("https://klasma.github.io/Logging_1430/tillsynsmail/A 26286-2022 tillsynsbegäran mail.docx", "A 26286-2022")</f>
        <v/>
      </c>
    </row>
    <row r="14" ht="15" customHeight="1">
      <c r="A14" t="inlineStr">
        <is>
          <t>A 39812-2022</t>
        </is>
      </c>
      <c r="B14" s="1" t="n">
        <v>44817</v>
      </c>
      <c r="C14" s="1" t="n">
        <v>45294</v>
      </c>
      <c r="D14" t="inlineStr">
        <is>
          <t>VÄSTRA GÖTALANDS LÄN</t>
        </is>
      </c>
      <c r="E14" t="inlineStr">
        <is>
          <t>MUNKEDAL</t>
        </is>
      </c>
      <c r="G14" t="n">
        <v>5.2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HYPERLINK("https://klasma.github.io/Logging_1430/artfynd/A 39812-2022 artfynd.xlsx", "A 39812-2022")</f>
        <v/>
      </c>
      <c r="T14">
        <f>HYPERLINK("https://klasma.github.io/Logging_1430/kartor/A 39812-2022 karta.png", "A 39812-2022")</f>
        <v/>
      </c>
      <c r="V14">
        <f>HYPERLINK("https://klasma.github.io/Logging_1430/klagomål/A 39812-2022 FSC-klagomål.docx", "A 39812-2022")</f>
        <v/>
      </c>
      <c r="W14">
        <f>HYPERLINK("https://klasma.github.io/Logging_1430/klagomålsmail/A 39812-2022 FSC-klagomål mail.docx", "A 39812-2022")</f>
        <v/>
      </c>
      <c r="X14">
        <f>HYPERLINK("https://klasma.github.io/Logging_1430/tillsyn/A 39812-2022 tillsynsbegäran.docx", "A 39812-2022")</f>
        <v/>
      </c>
      <c r="Y14">
        <f>HYPERLINK("https://klasma.github.io/Logging_1430/tillsynsmail/A 39812-2022 tillsynsbegäran mail.docx", "A 39812-2022")</f>
        <v/>
      </c>
    </row>
    <row r="15" ht="15" customHeight="1">
      <c r="A15" t="inlineStr">
        <is>
          <t>A 58890-2022</t>
        </is>
      </c>
      <c r="B15" s="1" t="n">
        <v>44903</v>
      </c>
      <c r="C15" s="1" t="n">
        <v>45294</v>
      </c>
      <c r="D15" t="inlineStr">
        <is>
          <t>VÄSTRA GÖTALANDS LÄN</t>
        </is>
      </c>
      <c r="E15" t="inlineStr">
        <is>
          <t>MUNKEDAL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Stor revmossa</t>
        </is>
      </c>
      <c r="S15">
        <f>HYPERLINK("https://klasma.github.io/Logging_1430/artfynd/A 58890-2022 artfynd.xlsx", "A 58890-2022")</f>
        <v/>
      </c>
      <c r="T15">
        <f>HYPERLINK("https://klasma.github.io/Logging_1430/kartor/A 58890-2022 karta.png", "A 58890-2022")</f>
        <v/>
      </c>
      <c r="V15">
        <f>HYPERLINK("https://klasma.github.io/Logging_1430/klagomål/A 58890-2022 FSC-klagomål.docx", "A 58890-2022")</f>
        <v/>
      </c>
      <c r="W15">
        <f>HYPERLINK("https://klasma.github.io/Logging_1430/klagomålsmail/A 58890-2022 FSC-klagomål mail.docx", "A 58890-2022")</f>
        <v/>
      </c>
      <c r="X15">
        <f>HYPERLINK("https://klasma.github.io/Logging_1430/tillsyn/A 58890-2022 tillsynsbegäran.docx", "A 58890-2022")</f>
        <v/>
      </c>
      <c r="Y15">
        <f>HYPERLINK("https://klasma.github.io/Logging_1430/tillsynsmail/A 58890-2022 tillsynsbegäran mail.docx", "A 58890-2022")</f>
        <v/>
      </c>
    </row>
    <row r="16" ht="15" customHeight="1">
      <c r="A16" t="inlineStr">
        <is>
          <t>A 36898-2023</t>
        </is>
      </c>
      <c r="B16" s="1" t="n">
        <v>45154</v>
      </c>
      <c r="C16" s="1" t="n">
        <v>45294</v>
      </c>
      <c r="D16" t="inlineStr">
        <is>
          <t>VÄSTRA GÖTALANDS LÄN</t>
        </is>
      </c>
      <c r="E16" t="inlineStr">
        <is>
          <t>MUNKEDAL</t>
        </is>
      </c>
      <c r="G16" t="n">
        <v>34.3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36898-2023 artfynd.xlsx", "A 36898-2023")</f>
        <v/>
      </c>
      <c r="T16">
        <f>HYPERLINK("https://klasma.github.io/Logging_1430/kartor/A 36898-2023 karta.png", "A 36898-2023")</f>
        <v/>
      </c>
      <c r="V16">
        <f>HYPERLINK("https://klasma.github.io/Logging_1430/klagomål/A 36898-2023 FSC-klagomål.docx", "A 36898-2023")</f>
        <v/>
      </c>
      <c r="W16">
        <f>HYPERLINK("https://klasma.github.io/Logging_1430/klagomålsmail/A 36898-2023 FSC-klagomål mail.docx", "A 36898-2023")</f>
        <v/>
      </c>
      <c r="X16">
        <f>HYPERLINK("https://klasma.github.io/Logging_1430/tillsyn/A 36898-2023 tillsynsbegäran.docx", "A 36898-2023")</f>
        <v/>
      </c>
      <c r="Y16">
        <f>HYPERLINK("https://klasma.github.io/Logging_1430/tillsynsmail/A 36898-2023 tillsynsbegäran mail.docx", "A 36898-2023")</f>
        <v/>
      </c>
    </row>
    <row r="17" ht="15" customHeight="1">
      <c r="A17" t="inlineStr">
        <is>
          <t>A 18784-2019</t>
        </is>
      </c>
      <c r="B17" s="1" t="n">
        <v>43562</v>
      </c>
      <c r="C17" s="1" t="n">
        <v>45294</v>
      </c>
      <c r="D17" t="inlineStr">
        <is>
          <t>VÄSTRA GÖTALANDS LÄN</t>
        </is>
      </c>
      <c r="E17" t="inlineStr">
        <is>
          <t>MUNKEDAL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HYPERLINK("https://klasma.github.io/Logging_1430/artfynd/A 18784-2019 artfynd.xlsx", "A 18784-2019")</f>
        <v/>
      </c>
      <c r="T17">
        <f>HYPERLINK("https://klasma.github.io/Logging_1430/kartor/A 18784-2019 karta.png", "A 18784-2019")</f>
        <v/>
      </c>
      <c r="V17">
        <f>HYPERLINK("https://klasma.github.io/Logging_1430/klagomål/A 18784-2019 FSC-klagomål.docx", "A 18784-2019")</f>
        <v/>
      </c>
      <c r="W17">
        <f>HYPERLINK("https://klasma.github.io/Logging_1430/klagomålsmail/A 18784-2019 FSC-klagomål mail.docx", "A 18784-2019")</f>
        <v/>
      </c>
      <c r="X17">
        <f>HYPERLINK("https://klasma.github.io/Logging_1430/tillsyn/A 18784-2019 tillsynsbegäran.docx", "A 18784-2019")</f>
        <v/>
      </c>
      <c r="Y17">
        <f>HYPERLINK("https://klasma.github.io/Logging_1430/tillsynsmail/A 18784-2019 tillsynsbegäran mail.docx", "A 18784-2019")</f>
        <v/>
      </c>
    </row>
    <row r="18" ht="15" customHeight="1">
      <c r="A18" t="inlineStr">
        <is>
          <t>A 30216-2019</t>
        </is>
      </c>
      <c r="B18" s="1" t="n">
        <v>43632</v>
      </c>
      <c r="C18" s="1" t="n">
        <v>45294</v>
      </c>
      <c r="D18" t="inlineStr">
        <is>
          <t>VÄSTRA GÖTALANDS LÄN</t>
        </is>
      </c>
      <c r="E18" t="inlineStr">
        <is>
          <t>MUNKEDAL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30216-2019 artfynd.xlsx", "A 30216-2019")</f>
        <v/>
      </c>
      <c r="T18">
        <f>HYPERLINK("https://klasma.github.io/Logging_1430/kartor/A 30216-2019 karta.png", "A 30216-2019")</f>
        <v/>
      </c>
      <c r="V18">
        <f>HYPERLINK("https://klasma.github.io/Logging_1430/klagomål/A 30216-2019 FSC-klagomål.docx", "A 30216-2019")</f>
        <v/>
      </c>
      <c r="W18">
        <f>HYPERLINK("https://klasma.github.io/Logging_1430/klagomålsmail/A 30216-2019 FSC-klagomål mail.docx", "A 30216-2019")</f>
        <v/>
      </c>
      <c r="X18">
        <f>HYPERLINK("https://klasma.github.io/Logging_1430/tillsyn/A 30216-2019 tillsynsbegäran.docx", "A 30216-2019")</f>
        <v/>
      </c>
      <c r="Y18">
        <f>HYPERLINK("https://klasma.github.io/Logging_1430/tillsynsmail/A 30216-2019 tillsynsbegäran mail.docx", "A 30216-2019")</f>
        <v/>
      </c>
    </row>
    <row r="19" ht="15" customHeight="1">
      <c r="A19" t="inlineStr">
        <is>
          <t>A 33245-2019</t>
        </is>
      </c>
      <c r="B19" s="1" t="n">
        <v>43650</v>
      </c>
      <c r="C19" s="1" t="n">
        <v>45294</v>
      </c>
      <c r="D19" t="inlineStr">
        <is>
          <t>VÄSTRA GÖTALANDS LÄN</t>
        </is>
      </c>
      <c r="E19" t="inlineStr">
        <is>
          <t>MUNKEDAL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33245-2019 artfynd.xlsx", "A 33245-2019")</f>
        <v/>
      </c>
      <c r="T19">
        <f>HYPERLINK("https://klasma.github.io/Logging_1430/kartor/A 33245-2019 karta.png", "A 33245-2019")</f>
        <v/>
      </c>
      <c r="V19">
        <f>HYPERLINK("https://klasma.github.io/Logging_1430/klagomål/A 33245-2019 FSC-klagomål.docx", "A 33245-2019")</f>
        <v/>
      </c>
      <c r="W19">
        <f>HYPERLINK("https://klasma.github.io/Logging_1430/klagomålsmail/A 33245-2019 FSC-klagomål mail.docx", "A 33245-2019")</f>
        <v/>
      </c>
      <c r="X19">
        <f>HYPERLINK("https://klasma.github.io/Logging_1430/tillsyn/A 33245-2019 tillsynsbegäran.docx", "A 33245-2019")</f>
        <v/>
      </c>
      <c r="Y19">
        <f>HYPERLINK("https://klasma.github.io/Logging_1430/tillsynsmail/A 33245-2019 tillsynsbegäran mail.docx", "A 33245-2019")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45294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6545-2022</t>
        </is>
      </c>
      <c r="B21" s="1" t="n">
        <v>44601</v>
      </c>
      <c r="C21" s="1" t="n">
        <v>45294</v>
      </c>
      <c r="D21" t="inlineStr">
        <is>
          <t>VÄSTRA GÖTALANDS LÄN</t>
        </is>
      </c>
      <c r="E21" t="inlineStr">
        <is>
          <t>MUNKEDAL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6545-2022 artfynd.xlsx", "A 6545-2022")</f>
        <v/>
      </c>
      <c r="T21">
        <f>HYPERLINK("https://klasma.github.io/Logging_1430/kartor/A 6545-2022 karta.png", "A 6545-2022")</f>
        <v/>
      </c>
      <c r="V21">
        <f>HYPERLINK("https://klasma.github.io/Logging_1430/klagomål/A 6545-2022 FSC-klagomål.docx", "A 6545-2022")</f>
        <v/>
      </c>
      <c r="W21">
        <f>HYPERLINK("https://klasma.github.io/Logging_1430/klagomålsmail/A 6545-2022 FSC-klagomål mail.docx", "A 6545-2022")</f>
        <v/>
      </c>
      <c r="X21">
        <f>HYPERLINK("https://klasma.github.io/Logging_1430/tillsyn/A 6545-2022 tillsynsbegäran.docx", "A 6545-2022")</f>
        <v/>
      </c>
      <c r="Y21">
        <f>HYPERLINK("https://klasma.github.io/Logging_1430/tillsynsmail/A 6545-2022 tillsynsbegäran mail.docx", "A 6545-2022")</f>
        <v/>
      </c>
    </row>
    <row r="22" ht="15" customHeight="1">
      <c r="A22" t="inlineStr">
        <is>
          <t>A 16618-2022</t>
        </is>
      </c>
      <c r="B22" s="1" t="n">
        <v>44672</v>
      </c>
      <c r="C22" s="1" t="n">
        <v>45294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26040-2022</t>
        </is>
      </c>
      <c r="B23" s="1" t="n">
        <v>44734</v>
      </c>
      <c r="C23" s="1" t="n">
        <v>45294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HYPERLINK("https://klasma.github.io/Logging_1430/artfynd/A 26040-2022 artfynd.xlsx", "A 26040-2022")</f>
        <v/>
      </c>
      <c r="T23">
        <f>HYPERLINK("https://klasma.github.io/Logging_1430/kartor/A 26040-2022 karta.png", "A 26040-2022")</f>
        <v/>
      </c>
      <c r="V23">
        <f>HYPERLINK("https://klasma.github.io/Logging_1430/klagomål/A 26040-2022 FSC-klagomål.docx", "A 26040-2022")</f>
        <v/>
      </c>
      <c r="W23">
        <f>HYPERLINK("https://klasma.github.io/Logging_1430/klagomålsmail/A 26040-2022 FSC-klagomål mail.docx", "A 26040-2022")</f>
        <v/>
      </c>
      <c r="X23">
        <f>HYPERLINK("https://klasma.github.io/Logging_1430/tillsyn/A 26040-2022 tillsynsbegäran.docx", "A 26040-2022")</f>
        <v/>
      </c>
      <c r="Y23">
        <f>HYPERLINK("https://klasma.github.io/Logging_1430/tillsynsmail/A 26040-2022 tillsynsbegäran mail.docx", "A 26040-2022")</f>
        <v/>
      </c>
    </row>
    <row r="24" ht="15" customHeight="1">
      <c r="A24" t="inlineStr">
        <is>
          <t>A 47881-2022</t>
        </is>
      </c>
      <c r="B24" s="1" t="n">
        <v>44855</v>
      </c>
      <c r="C24" s="1" t="n">
        <v>45294</v>
      </c>
      <c r="D24" t="inlineStr">
        <is>
          <t>VÄSTRA GÖTALANDS LÄN</t>
        </is>
      </c>
      <c r="E24" t="inlineStr">
        <is>
          <t>MUNKEDAL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HYPERLINK("https://klasma.github.io/Logging_1430/artfynd/A 47881-2022 artfynd.xlsx", "A 47881-2022")</f>
        <v/>
      </c>
      <c r="T24">
        <f>HYPERLINK("https://klasma.github.io/Logging_1430/kartor/A 47881-2022 karta.png", "A 47881-2022")</f>
        <v/>
      </c>
      <c r="V24">
        <f>HYPERLINK("https://klasma.github.io/Logging_1430/klagomål/A 47881-2022 FSC-klagomål.docx", "A 47881-2022")</f>
        <v/>
      </c>
      <c r="W24">
        <f>HYPERLINK("https://klasma.github.io/Logging_1430/klagomålsmail/A 47881-2022 FSC-klagomål mail.docx", "A 47881-2022")</f>
        <v/>
      </c>
      <c r="X24">
        <f>HYPERLINK("https://klasma.github.io/Logging_1430/tillsyn/A 47881-2022 tillsynsbegäran.docx", "A 47881-2022")</f>
        <v/>
      </c>
      <c r="Y24">
        <f>HYPERLINK("https://klasma.github.io/Logging_1430/tillsynsmail/A 47881-2022 tillsynsbegäran mail.docx", "A 47881-2022")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45294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9934-2023</t>
        </is>
      </c>
      <c r="B26" s="1" t="n">
        <v>44978</v>
      </c>
      <c r="C26" s="1" t="n">
        <v>45294</v>
      </c>
      <c r="D26" t="inlineStr">
        <is>
          <t>VÄSTRA GÖTALANDS LÄN</t>
        </is>
      </c>
      <c r="E26" t="inlineStr">
        <is>
          <t>MUNKEDAL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9934-2023 artfynd.xlsx", "A 9934-2023")</f>
        <v/>
      </c>
      <c r="T26">
        <f>HYPERLINK("https://klasma.github.io/Logging_1430/kartor/A 9934-2023 karta.png", "A 9934-2023")</f>
        <v/>
      </c>
      <c r="V26">
        <f>HYPERLINK("https://klasma.github.io/Logging_1430/klagomål/A 9934-2023 FSC-klagomål.docx", "A 9934-2023")</f>
        <v/>
      </c>
      <c r="W26">
        <f>HYPERLINK("https://klasma.github.io/Logging_1430/klagomålsmail/A 9934-2023 FSC-klagomål mail.docx", "A 9934-2023")</f>
        <v/>
      </c>
      <c r="X26">
        <f>HYPERLINK("https://klasma.github.io/Logging_1430/tillsyn/A 9934-2023 tillsynsbegäran.docx", "A 9934-2023")</f>
        <v/>
      </c>
      <c r="Y26">
        <f>HYPERLINK("https://klasma.github.io/Logging_1430/tillsynsmail/A 9934-2023 tillsynsbegäran mail.docx", "A 9934-2023")</f>
        <v/>
      </c>
    </row>
    <row r="27" ht="15" customHeight="1">
      <c r="A27" t="inlineStr">
        <is>
          <t>A 54838-2023</t>
        </is>
      </c>
      <c r="B27" s="1" t="n">
        <v>45236</v>
      </c>
      <c r="C27" s="1" t="n">
        <v>45294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HYPERLINK("https://klasma.github.io/Logging_1430/artfynd/A 54838-2023 artfynd.xlsx", "A 54838-2023")</f>
        <v/>
      </c>
      <c r="T27">
        <f>HYPERLINK("https://klasma.github.io/Logging_1430/kartor/A 54838-2023 karta.png", "A 54838-2023")</f>
        <v/>
      </c>
      <c r="V27">
        <f>HYPERLINK("https://klasma.github.io/Logging_1430/klagomål/A 54838-2023 FSC-klagomål.docx", "A 54838-2023")</f>
        <v/>
      </c>
      <c r="W27">
        <f>HYPERLINK("https://klasma.github.io/Logging_1430/klagomålsmail/A 54838-2023 FSC-klagomål mail.docx", "A 54838-2023")</f>
        <v/>
      </c>
      <c r="X27">
        <f>HYPERLINK("https://klasma.github.io/Logging_1430/tillsyn/A 54838-2023 tillsynsbegäran.docx", "A 54838-2023")</f>
        <v/>
      </c>
      <c r="Y27">
        <f>HYPERLINK("https://klasma.github.io/Logging_1430/tillsynsmail/A 54838-2023 tillsynsbegäran mail.docx", "A 54838-2023")</f>
        <v/>
      </c>
    </row>
    <row r="28" ht="15" customHeight="1">
      <c r="A28" t="inlineStr">
        <is>
          <t>A 39940-2018</t>
        </is>
      </c>
      <c r="B28" s="1" t="n">
        <v>43342</v>
      </c>
      <c r="C28" s="1" t="n">
        <v>45294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40426-2018</t>
        </is>
      </c>
      <c r="B29" s="1" t="n">
        <v>43342</v>
      </c>
      <c r="C29" s="1" t="n">
        <v>45294</v>
      </c>
      <c r="D29" t="inlineStr">
        <is>
          <t>VÄSTRA GÖTALANDS LÄN</t>
        </is>
      </c>
      <c r="E29" t="inlineStr">
        <is>
          <t>MUNKEDAL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40439-2018</t>
        </is>
      </c>
      <c r="B30" s="1" t="n">
        <v>43342</v>
      </c>
      <c r="C30" s="1" t="n">
        <v>45294</v>
      </c>
      <c r="D30" t="inlineStr">
        <is>
          <t>VÄSTRA GÖTALANDS LÄN</t>
        </is>
      </c>
      <c r="E30" t="inlineStr">
        <is>
          <t>MUNKEDAL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40421-2018</t>
        </is>
      </c>
      <c r="B31" s="1" t="n">
        <v>43342</v>
      </c>
      <c r="C31" s="1" t="n">
        <v>45294</v>
      </c>
      <c r="D31" t="inlineStr">
        <is>
          <t>VÄSTRA GÖTALANDS LÄN</t>
        </is>
      </c>
      <c r="E31" t="inlineStr">
        <is>
          <t>MUNKEDAL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39955-2018</t>
        </is>
      </c>
      <c r="B32" s="1" t="n">
        <v>43342</v>
      </c>
      <c r="C32" s="1" t="n">
        <v>45294</v>
      </c>
      <c r="D32" t="inlineStr">
        <is>
          <t>VÄSTRA GÖTALANDS LÄN</t>
        </is>
      </c>
      <c r="E32" t="inlineStr">
        <is>
          <t>MUNKEDAL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44827-2018</t>
        </is>
      </c>
      <c r="B33" s="1" t="n">
        <v>43357</v>
      </c>
      <c r="C33" s="1" t="n">
        <v>45294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43959-2018</t>
        </is>
      </c>
      <c r="B34" s="1" t="n">
        <v>43360</v>
      </c>
      <c r="C34" s="1" t="n">
        <v>45294</v>
      </c>
      <c r="D34" t="inlineStr">
        <is>
          <t>VÄSTRA GÖTALANDS LÄN</t>
        </is>
      </c>
      <c r="E34" t="inlineStr">
        <is>
          <t>MUNKEDAL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46343-2018</t>
        </is>
      </c>
      <c r="B35" s="1" t="n">
        <v>43363</v>
      </c>
      <c r="C35" s="1" t="n">
        <v>45294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46348-2018</t>
        </is>
      </c>
      <c r="B36" s="1" t="n">
        <v>43363</v>
      </c>
      <c r="C36" s="1" t="n">
        <v>45294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47983-2018</t>
        </is>
      </c>
      <c r="B37" s="1" t="n">
        <v>43369</v>
      </c>
      <c r="C37" s="1" t="n">
        <v>45294</v>
      </c>
      <c r="D37" t="inlineStr">
        <is>
          <t>VÄSTRA GÖTALANDS LÄN</t>
        </is>
      </c>
      <c r="E37" t="inlineStr">
        <is>
          <t>MUNKEDAL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53490-2018</t>
        </is>
      </c>
      <c r="B38" s="1" t="n">
        <v>43385</v>
      </c>
      <c r="C38" s="1" t="n">
        <v>45294</v>
      </c>
      <c r="D38" t="inlineStr">
        <is>
          <t>VÄSTRA GÖTALANDS LÄN</t>
        </is>
      </c>
      <c r="E38" t="inlineStr">
        <is>
          <t>MUNKEDAL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65003-2018</t>
        </is>
      </c>
      <c r="B39" s="1" t="n">
        <v>43385</v>
      </c>
      <c r="C39" s="1" t="n">
        <v>45294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53481-2018</t>
        </is>
      </c>
      <c r="B40" s="1" t="n">
        <v>43385</v>
      </c>
      <c r="C40" s="1" t="n">
        <v>45294</v>
      </c>
      <c r="D40" t="inlineStr">
        <is>
          <t>VÄSTRA GÖTALANDS LÄN</t>
        </is>
      </c>
      <c r="E40" t="inlineStr">
        <is>
          <t>MUNKEDAL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63938-2018</t>
        </is>
      </c>
      <c r="B41" s="1" t="n">
        <v>43388</v>
      </c>
      <c r="C41" s="1" t="n">
        <v>45294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53673-2018</t>
        </is>
      </c>
      <c r="B42" s="1" t="n">
        <v>43391</v>
      </c>
      <c r="C42" s="1" t="n">
        <v>45294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54896-2018</t>
        </is>
      </c>
      <c r="B43" s="1" t="n">
        <v>43396</v>
      </c>
      <c r="C43" s="1" t="n">
        <v>45294</v>
      </c>
      <c r="D43" t="inlineStr">
        <is>
          <t>VÄSTRA GÖTALANDS LÄN</t>
        </is>
      </c>
      <c r="E43" t="inlineStr">
        <is>
          <t>MUNKEDAL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58052-2018</t>
        </is>
      </c>
      <c r="B44" s="1" t="n">
        <v>43406</v>
      </c>
      <c r="C44" s="1" t="n">
        <v>45294</v>
      </c>
      <c r="D44" t="inlineStr">
        <is>
          <t>VÄSTRA GÖTALANDS LÄN</t>
        </is>
      </c>
      <c r="E44" t="inlineStr">
        <is>
          <t>MUNKEDAL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62630-2018</t>
        </is>
      </c>
      <c r="B45" s="1" t="n">
        <v>43415</v>
      </c>
      <c r="C45" s="1" t="n">
        <v>45294</v>
      </c>
      <c r="D45" t="inlineStr">
        <is>
          <t>VÄSTRA GÖTALANDS LÄN</t>
        </is>
      </c>
      <c r="E45" t="inlineStr">
        <is>
          <t>MUNKEDAL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63421-2018</t>
        </is>
      </c>
      <c r="B46" s="1" t="n">
        <v>43416</v>
      </c>
      <c r="C46" s="1" t="n">
        <v>45294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62622-2018</t>
        </is>
      </c>
      <c r="B47" s="1" t="n">
        <v>43426</v>
      </c>
      <c r="C47" s="1" t="n">
        <v>45294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62570-2018</t>
        </is>
      </c>
      <c r="B48" s="1" t="n">
        <v>43426</v>
      </c>
      <c r="C48" s="1" t="n">
        <v>45294</v>
      </c>
      <c r="D48" t="inlineStr">
        <is>
          <t>VÄSTRA GÖTALANDS LÄN</t>
        </is>
      </c>
      <c r="E48" t="inlineStr">
        <is>
          <t>MUNKEDAL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66468-2018</t>
        </is>
      </c>
      <c r="B49" s="1" t="n">
        <v>43430</v>
      </c>
      <c r="C49" s="1" t="n">
        <v>45294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64240-2018</t>
        </is>
      </c>
      <c r="B50" s="1" t="n">
        <v>43430</v>
      </c>
      <c r="C50" s="1" t="n">
        <v>45294</v>
      </c>
      <c r="D50" t="inlineStr">
        <is>
          <t>VÄSTRA GÖTALANDS LÄN</t>
        </is>
      </c>
      <c r="E50" t="inlineStr">
        <is>
          <t>MUNKEDAL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67020-2018</t>
        </is>
      </c>
      <c r="B51" s="1" t="n">
        <v>43431</v>
      </c>
      <c r="C51" s="1" t="n">
        <v>45294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65309-2018</t>
        </is>
      </c>
      <c r="B52" s="1" t="n">
        <v>43432</v>
      </c>
      <c r="C52" s="1" t="n">
        <v>45294</v>
      </c>
      <c r="D52" t="inlineStr">
        <is>
          <t>VÄSTRA GÖTALANDS LÄN</t>
        </is>
      </c>
      <c r="E52" t="inlineStr">
        <is>
          <t>MUNKEDAL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65706-2018</t>
        </is>
      </c>
      <c r="B53" s="1" t="n">
        <v>43433</v>
      </c>
      <c r="C53" s="1" t="n">
        <v>45294</v>
      </c>
      <c r="D53" t="inlineStr">
        <is>
          <t>VÄSTRA GÖTALANDS LÄN</t>
        </is>
      </c>
      <c r="E53" t="inlineStr">
        <is>
          <t>MUNKEDAL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67646-2018</t>
        </is>
      </c>
      <c r="B54" s="1" t="n">
        <v>43433</v>
      </c>
      <c r="C54" s="1" t="n">
        <v>45294</v>
      </c>
      <c r="D54" t="inlineStr">
        <is>
          <t>VÄSTRA GÖTALANDS LÄN</t>
        </is>
      </c>
      <c r="E54" t="inlineStr">
        <is>
          <t>MUNKEDAL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66800-2018</t>
        </is>
      </c>
      <c r="B55" s="1" t="n">
        <v>43437</v>
      </c>
      <c r="C55" s="1" t="n">
        <v>45294</v>
      </c>
      <c r="D55" t="inlineStr">
        <is>
          <t>VÄSTRA GÖTALANDS LÄN</t>
        </is>
      </c>
      <c r="E55" t="inlineStr">
        <is>
          <t>MUNKEDAL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68492-2018</t>
        </is>
      </c>
      <c r="B56" s="1" t="n">
        <v>43442</v>
      </c>
      <c r="C56" s="1" t="n">
        <v>45294</v>
      </c>
      <c r="D56" t="inlineStr">
        <is>
          <t>VÄSTRA GÖTALANDS LÄN</t>
        </is>
      </c>
      <c r="E56" t="inlineStr">
        <is>
          <t>MUNKEDAL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70116-2018</t>
        </is>
      </c>
      <c r="B57" s="1" t="n">
        <v>43444</v>
      </c>
      <c r="C57" s="1" t="n">
        <v>45294</v>
      </c>
      <c r="D57" t="inlineStr">
        <is>
          <t>VÄSTRA GÖTALANDS LÄN</t>
        </is>
      </c>
      <c r="E57" t="inlineStr">
        <is>
          <t>MUNKEDAL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70043-2018</t>
        </is>
      </c>
      <c r="B58" s="1" t="n">
        <v>43445</v>
      </c>
      <c r="C58" s="1" t="n">
        <v>45294</v>
      </c>
      <c r="D58" t="inlineStr">
        <is>
          <t>VÄSTRA GÖTALANDS LÄN</t>
        </is>
      </c>
      <c r="E58" t="inlineStr">
        <is>
          <t>MUNKEDAL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70129-2018</t>
        </is>
      </c>
      <c r="B59" s="1" t="n">
        <v>43445</v>
      </c>
      <c r="C59" s="1" t="n">
        <v>45294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70118-2018</t>
        </is>
      </c>
      <c r="B60" s="1" t="n">
        <v>43445</v>
      </c>
      <c r="C60" s="1" t="n">
        <v>45294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70036-2018</t>
        </is>
      </c>
      <c r="B61" s="1" t="n">
        <v>43445</v>
      </c>
      <c r="C61" s="1" t="n">
        <v>45294</v>
      </c>
      <c r="D61" t="inlineStr">
        <is>
          <t>VÄSTRA GÖTALANDS LÄN</t>
        </is>
      </c>
      <c r="E61" t="inlineStr">
        <is>
          <t>MUNKEDAL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572-2019</t>
        </is>
      </c>
      <c r="B62" s="1" t="n">
        <v>43455</v>
      </c>
      <c r="C62" s="1" t="n">
        <v>45294</v>
      </c>
      <c r="D62" t="inlineStr">
        <is>
          <t>VÄSTRA GÖTALANDS LÄN</t>
        </is>
      </c>
      <c r="E62" t="inlineStr">
        <is>
          <t>MUNKEDAL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2030-2019</t>
        </is>
      </c>
      <c r="B63" s="1" t="n">
        <v>43475</v>
      </c>
      <c r="C63" s="1" t="n">
        <v>45294</v>
      </c>
      <c r="D63" t="inlineStr">
        <is>
          <t>VÄSTRA GÖTALANDS LÄN</t>
        </is>
      </c>
      <c r="E63" t="inlineStr">
        <is>
          <t>MUNKEDAL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2729-2019</t>
        </is>
      </c>
      <c r="B64" s="1" t="n">
        <v>43479</v>
      </c>
      <c r="C64" s="1" t="n">
        <v>45294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4685-2019</t>
        </is>
      </c>
      <c r="B65" s="1" t="n">
        <v>43479</v>
      </c>
      <c r="C65" s="1" t="n">
        <v>45294</v>
      </c>
      <c r="D65" t="inlineStr">
        <is>
          <t>VÄSTRA GÖTALANDS LÄN</t>
        </is>
      </c>
      <c r="E65" t="inlineStr">
        <is>
          <t>MUNKEDAL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4686-2019</t>
        </is>
      </c>
      <c r="B66" s="1" t="n">
        <v>43479</v>
      </c>
      <c r="C66" s="1" t="n">
        <v>45294</v>
      </c>
      <c r="D66" t="inlineStr">
        <is>
          <t>VÄSTRA GÖTALANDS LÄN</t>
        </is>
      </c>
      <c r="E66" t="inlineStr">
        <is>
          <t>MUNKEDAL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7601-2019</t>
        </is>
      </c>
      <c r="B67" s="1" t="n">
        <v>43499</v>
      </c>
      <c r="C67" s="1" t="n">
        <v>45294</v>
      </c>
      <c r="D67" t="inlineStr">
        <is>
          <t>VÄSTRA GÖTALANDS LÄN</t>
        </is>
      </c>
      <c r="E67" t="inlineStr">
        <is>
          <t>MUNKEDAL</t>
        </is>
      </c>
      <c r="G67" t="n">
        <v>15.6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7599-2019</t>
        </is>
      </c>
      <c r="B68" s="1" t="n">
        <v>43499</v>
      </c>
      <c r="C68" s="1" t="n">
        <v>45294</v>
      </c>
      <c r="D68" t="inlineStr">
        <is>
          <t>VÄSTRA GÖTALANDS LÄN</t>
        </is>
      </c>
      <c r="E68" t="inlineStr">
        <is>
          <t>MUNKEDAL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7600-2019</t>
        </is>
      </c>
      <c r="B69" s="1" t="n">
        <v>43499</v>
      </c>
      <c r="C69" s="1" t="n">
        <v>45294</v>
      </c>
      <c r="D69" t="inlineStr">
        <is>
          <t>VÄSTRA GÖTALANDS LÄN</t>
        </is>
      </c>
      <c r="E69" t="inlineStr">
        <is>
          <t>MUNKEDAL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8703-2019</t>
        </is>
      </c>
      <c r="B70" s="1" t="n">
        <v>43501</v>
      </c>
      <c r="C70" s="1" t="n">
        <v>45294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10058-2019</t>
        </is>
      </c>
      <c r="B71" s="1" t="n">
        <v>43510</v>
      </c>
      <c r="C71" s="1" t="n">
        <v>45294</v>
      </c>
      <c r="D71" t="inlineStr">
        <is>
          <t>VÄSTRA GÖTALANDS LÄN</t>
        </is>
      </c>
      <c r="E71" t="inlineStr">
        <is>
          <t>MUNKEDAL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10056-2019</t>
        </is>
      </c>
      <c r="B72" s="1" t="n">
        <v>43510</v>
      </c>
      <c r="C72" s="1" t="n">
        <v>45294</v>
      </c>
      <c r="D72" t="inlineStr">
        <is>
          <t>VÄSTRA GÖTALANDS LÄN</t>
        </is>
      </c>
      <c r="E72" t="inlineStr">
        <is>
          <t>MUNKEDAL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11134-2019</t>
        </is>
      </c>
      <c r="B73" s="1" t="n">
        <v>43516</v>
      </c>
      <c r="C73" s="1" t="n">
        <v>45294</v>
      </c>
      <c r="D73" t="inlineStr">
        <is>
          <t>VÄSTRA GÖTALANDS LÄN</t>
        </is>
      </c>
      <c r="E73" t="inlineStr">
        <is>
          <t>MUNKEDAL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11360-2019</t>
        </is>
      </c>
      <c r="B74" s="1" t="n">
        <v>43517</v>
      </c>
      <c r="C74" s="1" t="n">
        <v>45294</v>
      </c>
      <c r="D74" t="inlineStr">
        <is>
          <t>VÄSTRA GÖTALANDS LÄN</t>
        </is>
      </c>
      <c r="E74" t="inlineStr">
        <is>
          <t>MUNKEDAL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11667-2019</t>
        </is>
      </c>
      <c r="B75" s="1" t="n">
        <v>43518</v>
      </c>
      <c r="C75" s="1" t="n">
        <v>45294</v>
      </c>
      <c r="D75" t="inlineStr">
        <is>
          <t>VÄSTRA GÖTALANDS LÄN</t>
        </is>
      </c>
      <c r="E75" t="inlineStr">
        <is>
          <t>MUNKEDAL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12086-2019</t>
        </is>
      </c>
      <c r="B76" s="1" t="n">
        <v>43522</v>
      </c>
      <c r="C76" s="1" t="n">
        <v>45294</v>
      </c>
      <c r="D76" t="inlineStr">
        <is>
          <t>VÄSTRA GÖTALANDS LÄN</t>
        </is>
      </c>
      <c r="E76" t="inlineStr">
        <is>
          <t>MUNKEDAL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12818-2019</t>
        </is>
      </c>
      <c r="B77" s="1" t="n">
        <v>43525</v>
      </c>
      <c r="C77" s="1" t="n">
        <v>45294</v>
      </c>
      <c r="D77" t="inlineStr">
        <is>
          <t>VÄSTRA GÖTALANDS LÄN</t>
        </is>
      </c>
      <c r="E77" t="inlineStr">
        <is>
          <t>MUNKEDAL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12983-2019</t>
        </is>
      </c>
      <c r="B78" s="1" t="n">
        <v>43527</v>
      </c>
      <c r="C78" s="1" t="n">
        <v>45294</v>
      </c>
      <c r="D78" t="inlineStr">
        <is>
          <t>VÄSTRA GÖTALANDS LÄN</t>
        </is>
      </c>
      <c r="E78" t="inlineStr">
        <is>
          <t>MUNKEDAL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13501-2019</t>
        </is>
      </c>
      <c r="B79" s="1" t="n">
        <v>43529</v>
      </c>
      <c r="C79" s="1" t="n">
        <v>45294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13517-2019</t>
        </is>
      </c>
      <c r="B80" s="1" t="n">
        <v>43529</v>
      </c>
      <c r="C80" s="1" t="n">
        <v>45294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13515-2019</t>
        </is>
      </c>
      <c r="B81" s="1" t="n">
        <v>43529</v>
      </c>
      <c r="C81" s="1" t="n">
        <v>45294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14243-2019</t>
        </is>
      </c>
      <c r="B82" s="1" t="n">
        <v>43535</v>
      </c>
      <c r="C82" s="1" t="n">
        <v>45294</v>
      </c>
      <c r="D82" t="inlineStr">
        <is>
          <t>VÄSTRA GÖTALANDS LÄN</t>
        </is>
      </c>
      <c r="E82" t="inlineStr">
        <is>
          <t>MUNKEDAL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15957-2019</t>
        </is>
      </c>
      <c r="B83" s="1" t="n">
        <v>43537</v>
      </c>
      <c r="C83" s="1" t="n">
        <v>45294</v>
      </c>
      <c r="D83" t="inlineStr">
        <is>
          <t>VÄSTRA GÖTALANDS LÄN</t>
        </is>
      </c>
      <c r="E83" t="inlineStr">
        <is>
          <t>MUNKEDAL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16886-2019</t>
        </is>
      </c>
      <c r="B84" s="1" t="n">
        <v>43549</v>
      </c>
      <c r="C84" s="1" t="n">
        <v>45294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17276-2019</t>
        </is>
      </c>
      <c r="B85" s="1" t="n">
        <v>43549</v>
      </c>
      <c r="C85" s="1" t="n">
        <v>45294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16772-2019</t>
        </is>
      </c>
      <c r="B86" s="1" t="n">
        <v>43549</v>
      </c>
      <c r="C86" s="1" t="n">
        <v>45294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17238-2019</t>
        </is>
      </c>
      <c r="B87" s="1" t="n">
        <v>43550</v>
      </c>
      <c r="C87" s="1" t="n">
        <v>45294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18458-2019</t>
        </is>
      </c>
      <c r="B88" s="1" t="n">
        <v>43559</v>
      </c>
      <c r="C88" s="1" t="n">
        <v>45294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18362-2019</t>
        </is>
      </c>
      <c r="B89" s="1" t="n">
        <v>43559</v>
      </c>
      <c r="C89" s="1" t="n">
        <v>45294</v>
      </c>
      <c r="D89" t="inlineStr">
        <is>
          <t>VÄSTRA GÖTALANDS LÄN</t>
        </is>
      </c>
      <c r="E89" t="inlineStr">
        <is>
          <t>MUNKEDAL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18783-2019</t>
        </is>
      </c>
      <c r="B90" s="1" t="n">
        <v>43562</v>
      </c>
      <c r="C90" s="1" t="n">
        <v>45294</v>
      </c>
      <c r="D90" t="inlineStr">
        <is>
          <t>VÄSTRA GÖTALANDS LÄN</t>
        </is>
      </c>
      <c r="E90" t="inlineStr">
        <is>
          <t>MUNKEDAL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18787-2019</t>
        </is>
      </c>
      <c r="B91" s="1" t="n">
        <v>43562</v>
      </c>
      <c r="C91" s="1" t="n">
        <v>45294</v>
      </c>
      <c r="D91" t="inlineStr">
        <is>
          <t>VÄSTRA GÖTALANDS LÄN</t>
        </is>
      </c>
      <c r="E91" t="inlineStr">
        <is>
          <t>MUNKEDAL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22768-2019</t>
        </is>
      </c>
      <c r="B92" s="1" t="n">
        <v>43588</v>
      </c>
      <c r="C92" s="1" t="n">
        <v>45294</v>
      </c>
      <c r="D92" t="inlineStr">
        <is>
          <t>VÄSTRA GÖTALANDS LÄN</t>
        </is>
      </c>
      <c r="E92" t="inlineStr">
        <is>
          <t>MUNKEDAL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22706-2019</t>
        </is>
      </c>
      <c r="B93" s="1" t="n">
        <v>43588</v>
      </c>
      <c r="C93" s="1" t="n">
        <v>45294</v>
      </c>
      <c r="D93" t="inlineStr">
        <is>
          <t>VÄSTRA GÖTALANDS LÄN</t>
        </is>
      </c>
      <c r="E93" t="inlineStr">
        <is>
          <t>MUNKEDAL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29134-2019</t>
        </is>
      </c>
      <c r="B94" s="1" t="n">
        <v>43628</v>
      </c>
      <c r="C94" s="1" t="n">
        <v>45294</v>
      </c>
      <c r="D94" t="inlineStr">
        <is>
          <t>VÄSTRA GÖTALANDS LÄN</t>
        </is>
      </c>
      <c r="E94" t="inlineStr">
        <is>
          <t>MUNKEDAL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29545-2019</t>
        </is>
      </c>
      <c r="B95" s="1" t="n">
        <v>43630</v>
      </c>
      <c r="C95" s="1" t="n">
        <v>45294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30273-2019</t>
        </is>
      </c>
      <c r="B96" s="1" t="n">
        <v>43632</v>
      </c>
      <c r="C96" s="1" t="n">
        <v>45294</v>
      </c>
      <c r="D96" t="inlineStr">
        <is>
          <t>VÄSTRA GÖTALANDS LÄN</t>
        </is>
      </c>
      <c r="E96" t="inlineStr">
        <is>
          <t>MUNKEDAL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31920-2019</t>
        </is>
      </c>
      <c r="B97" s="1" t="n">
        <v>43641</v>
      </c>
      <c r="C97" s="1" t="n">
        <v>45294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40599-2019</t>
        </is>
      </c>
      <c r="B98" s="1" t="n">
        <v>43696</v>
      </c>
      <c r="C98" s="1" t="n">
        <v>45294</v>
      </c>
      <c r="D98" t="inlineStr">
        <is>
          <t>VÄSTRA GÖTALANDS LÄN</t>
        </is>
      </c>
      <c r="E98" t="inlineStr">
        <is>
          <t>MUNKEDAL</t>
        </is>
      </c>
      <c r="G98" t="n">
        <v>13.1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44512-2019</t>
        </is>
      </c>
      <c r="B99" s="1" t="n">
        <v>43711</v>
      </c>
      <c r="C99" s="1" t="n">
        <v>45294</v>
      </c>
      <c r="D99" t="inlineStr">
        <is>
          <t>VÄSTRA GÖTALANDS LÄN</t>
        </is>
      </c>
      <c r="E99" t="inlineStr">
        <is>
          <t>MUNKEDAL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44517-2019</t>
        </is>
      </c>
      <c r="B100" s="1" t="n">
        <v>43711</v>
      </c>
      <c r="C100" s="1" t="n">
        <v>45294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47063-2019</t>
        </is>
      </c>
      <c r="B101" s="1" t="n">
        <v>43720</v>
      </c>
      <c r="C101" s="1" t="n">
        <v>45294</v>
      </c>
      <c r="D101" t="inlineStr">
        <is>
          <t>VÄSTRA GÖTALANDS LÄN</t>
        </is>
      </c>
      <c r="E101" t="inlineStr">
        <is>
          <t>MUNKEDAL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47538-2019</t>
        </is>
      </c>
      <c r="B102" s="1" t="n">
        <v>43724</v>
      </c>
      <c r="C102" s="1" t="n">
        <v>45294</v>
      </c>
      <c r="D102" t="inlineStr">
        <is>
          <t>VÄSTRA GÖTALANDS LÄN</t>
        </is>
      </c>
      <c r="E102" t="inlineStr">
        <is>
          <t>MUNKEDAL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49250-2019</t>
        </is>
      </c>
      <c r="B103" s="1" t="n">
        <v>43731</v>
      </c>
      <c r="C103" s="1" t="n">
        <v>45294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49495-2019</t>
        </is>
      </c>
      <c r="B104" s="1" t="n">
        <v>43732</v>
      </c>
      <c r="C104" s="1" t="n">
        <v>45294</v>
      </c>
      <c r="D104" t="inlineStr">
        <is>
          <t>VÄSTRA GÖTALANDS LÄN</t>
        </is>
      </c>
      <c r="E104" t="inlineStr">
        <is>
          <t>MUNKEDAL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49486-2019</t>
        </is>
      </c>
      <c r="B105" s="1" t="n">
        <v>43732</v>
      </c>
      <c r="C105" s="1" t="n">
        <v>45294</v>
      </c>
      <c r="D105" t="inlineStr">
        <is>
          <t>VÄSTRA GÖTALANDS LÄN</t>
        </is>
      </c>
      <c r="E105" t="inlineStr">
        <is>
          <t>MUNKEDAL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49862-2019</t>
        </is>
      </c>
      <c r="B106" s="1" t="n">
        <v>43733</v>
      </c>
      <c r="C106" s="1" t="n">
        <v>45294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50660-2019</t>
        </is>
      </c>
      <c r="B107" s="1" t="n">
        <v>43737</v>
      </c>
      <c r="C107" s="1" t="n">
        <v>45294</v>
      </c>
      <c r="D107" t="inlineStr">
        <is>
          <t>VÄSTRA GÖTALANDS LÄN</t>
        </is>
      </c>
      <c r="E107" t="inlineStr">
        <is>
          <t>MUNKEDAL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58112-2019</t>
        </is>
      </c>
      <c r="B108" s="1" t="n">
        <v>43766</v>
      </c>
      <c r="C108" s="1" t="n">
        <v>45294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57778-2019</t>
        </is>
      </c>
      <c r="B109" s="1" t="n">
        <v>43768</v>
      </c>
      <c r="C109" s="1" t="n">
        <v>45294</v>
      </c>
      <c r="D109" t="inlineStr">
        <is>
          <t>VÄSTRA GÖTALANDS LÄN</t>
        </is>
      </c>
      <c r="E109" t="inlineStr">
        <is>
          <t>MUNKEDAL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60797-2019</t>
        </is>
      </c>
      <c r="B110" s="1" t="n">
        <v>43781</v>
      </c>
      <c r="C110" s="1" t="n">
        <v>45294</v>
      </c>
      <c r="D110" t="inlineStr">
        <is>
          <t>VÄSTRA GÖTALANDS LÄN</t>
        </is>
      </c>
      <c r="E110" t="inlineStr">
        <is>
          <t>MUNKEDAL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61737-2019</t>
        </is>
      </c>
      <c r="B111" s="1" t="n">
        <v>43784</v>
      </c>
      <c r="C111" s="1" t="n">
        <v>45294</v>
      </c>
      <c r="D111" t="inlineStr">
        <is>
          <t>VÄSTRA GÖTALANDS LÄN</t>
        </is>
      </c>
      <c r="E111" t="inlineStr">
        <is>
          <t>MUNKEDAL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63173-2019</t>
        </is>
      </c>
      <c r="B112" s="1" t="n">
        <v>43791</v>
      </c>
      <c r="C112" s="1" t="n">
        <v>45294</v>
      </c>
      <c r="D112" t="inlineStr">
        <is>
          <t>VÄSTRA GÖTALANDS LÄN</t>
        </is>
      </c>
      <c r="E112" t="inlineStr">
        <is>
          <t>MUNKEDAL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64599-2019</t>
        </is>
      </c>
      <c r="B113" s="1" t="n">
        <v>43794</v>
      </c>
      <c r="C113" s="1" t="n">
        <v>45294</v>
      </c>
      <c r="D113" t="inlineStr">
        <is>
          <t>VÄSTRA GÖTALANDS LÄN</t>
        </is>
      </c>
      <c r="E113" t="inlineStr">
        <is>
          <t>MUNKEDAL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64867-2019</t>
        </is>
      </c>
      <c r="B114" s="1" t="n">
        <v>43801</v>
      </c>
      <c r="C114" s="1" t="n">
        <v>45294</v>
      </c>
      <c r="D114" t="inlineStr">
        <is>
          <t>VÄSTRA GÖTALANDS LÄN</t>
        </is>
      </c>
      <c r="E114" t="inlineStr">
        <is>
          <t>MUNKEDAL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67288-2019</t>
        </is>
      </c>
      <c r="B115" s="1" t="n">
        <v>43812</v>
      </c>
      <c r="C115" s="1" t="n">
        <v>45294</v>
      </c>
      <c r="D115" t="inlineStr">
        <is>
          <t>VÄSTRA GÖTALANDS LÄN</t>
        </is>
      </c>
      <c r="E115" t="inlineStr">
        <is>
          <t>MUNKEDAL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1608-2020</t>
        </is>
      </c>
      <c r="B116" s="1" t="n">
        <v>43829</v>
      </c>
      <c r="C116" s="1" t="n">
        <v>45294</v>
      </c>
      <c r="D116" t="inlineStr">
        <is>
          <t>VÄSTRA GÖTALANDS LÄN</t>
        </is>
      </c>
      <c r="E116" t="inlineStr">
        <is>
          <t>MUNKEDAL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83-2020</t>
        </is>
      </c>
      <c r="B117" s="1" t="n">
        <v>43832</v>
      </c>
      <c r="C117" s="1" t="n">
        <v>45294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79-2020</t>
        </is>
      </c>
      <c r="B118" s="1" t="n">
        <v>43832</v>
      </c>
      <c r="C118" s="1" t="n">
        <v>45294</v>
      </c>
      <c r="D118" t="inlineStr">
        <is>
          <t>VÄSTRA GÖTALANDS LÄN</t>
        </is>
      </c>
      <c r="E118" t="inlineStr">
        <is>
          <t>MUNKEDAL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142-2020</t>
        </is>
      </c>
      <c r="B119" s="1" t="n">
        <v>43833</v>
      </c>
      <c r="C119" s="1" t="n">
        <v>45294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143-2020</t>
        </is>
      </c>
      <c r="B120" s="1" t="n">
        <v>43833</v>
      </c>
      <c r="C120" s="1" t="n">
        <v>45294</v>
      </c>
      <c r="D120" t="inlineStr">
        <is>
          <t>VÄSTRA GÖTALANDS LÄN</t>
        </is>
      </c>
      <c r="E120" t="inlineStr">
        <is>
          <t>MUNKEDAL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4638-2020</t>
        </is>
      </c>
      <c r="B121" s="1" t="n">
        <v>43851</v>
      </c>
      <c r="C121" s="1" t="n">
        <v>45294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4432-2020</t>
        </is>
      </c>
      <c r="B122" s="1" t="n">
        <v>43858</v>
      </c>
      <c r="C122" s="1" t="n">
        <v>45294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5392-2020</t>
        </is>
      </c>
      <c r="B123" s="1" t="n">
        <v>43860</v>
      </c>
      <c r="C123" s="1" t="n">
        <v>45294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5895-2020</t>
        </is>
      </c>
      <c r="B124" s="1" t="n">
        <v>43861</v>
      </c>
      <c r="C124" s="1" t="n">
        <v>45294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5893-2020</t>
        </is>
      </c>
      <c r="B125" s="1" t="n">
        <v>43861</v>
      </c>
      <c r="C125" s="1" t="n">
        <v>45294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7138-2020</t>
        </is>
      </c>
      <c r="B126" s="1" t="n">
        <v>43869</v>
      </c>
      <c r="C126" s="1" t="n">
        <v>45294</v>
      </c>
      <c r="D126" t="inlineStr">
        <is>
          <t>VÄSTRA GÖTALANDS LÄN</t>
        </is>
      </c>
      <c r="E126" t="inlineStr">
        <is>
          <t>MUNKEDAL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9305-2020</t>
        </is>
      </c>
      <c r="B127" s="1" t="n">
        <v>43878</v>
      </c>
      <c r="C127" s="1" t="n">
        <v>45294</v>
      </c>
      <c r="D127" t="inlineStr">
        <is>
          <t>VÄSTRA GÖTALANDS LÄN</t>
        </is>
      </c>
      <c r="E127" t="inlineStr">
        <is>
          <t>MUNKEDAL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12263-2020</t>
        </is>
      </c>
      <c r="B128" s="1" t="n">
        <v>43895</v>
      </c>
      <c r="C128" s="1" t="n">
        <v>45294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13736-2020</t>
        </is>
      </c>
      <c r="B129" s="1" t="n">
        <v>43896</v>
      </c>
      <c r="C129" s="1" t="n">
        <v>45294</v>
      </c>
      <c r="D129" t="inlineStr">
        <is>
          <t>VÄSTRA GÖTALANDS LÄN</t>
        </is>
      </c>
      <c r="E129" t="inlineStr">
        <is>
          <t>MUNKEDAL</t>
        </is>
      </c>
      <c r="G129" t="n">
        <v>18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12477-2020</t>
        </is>
      </c>
      <c r="B130" s="1" t="n">
        <v>43896</v>
      </c>
      <c r="C130" s="1" t="n">
        <v>45294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13752-2020</t>
        </is>
      </c>
      <c r="B131" s="1" t="n">
        <v>43896</v>
      </c>
      <c r="C131" s="1" t="n">
        <v>45294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13755-2020</t>
        </is>
      </c>
      <c r="B132" s="1" t="n">
        <v>43896</v>
      </c>
      <c r="C132" s="1" t="n">
        <v>45294</v>
      </c>
      <c r="D132" t="inlineStr">
        <is>
          <t>VÄSTRA GÖTALANDS LÄN</t>
        </is>
      </c>
      <c r="E132" t="inlineStr">
        <is>
          <t>MUNKEDAL</t>
        </is>
      </c>
      <c r="G132" t="n">
        <v>37.8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13751-2020</t>
        </is>
      </c>
      <c r="B133" s="1" t="n">
        <v>43896</v>
      </c>
      <c r="C133" s="1" t="n">
        <v>45294</v>
      </c>
      <c r="D133" t="inlineStr">
        <is>
          <t>VÄSTRA GÖTALANDS LÄN</t>
        </is>
      </c>
      <c r="E133" t="inlineStr">
        <is>
          <t>MUNKEDAL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12865-2020</t>
        </is>
      </c>
      <c r="B134" s="1" t="n">
        <v>43899</v>
      </c>
      <c r="C134" s="1" t="n">
        <v>45294</v>
      </c>
      <c r="D134" t="inlineStr">
        <is>
          <t>VÄSTRA GÖTALANDS LÄN</t>
        </is>
      </c>
      <c r="E134" t="inlineStr">
        <is>
          <t>MUNKEDAL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12872-2020</t>
        </is>
      </c>
      <c r="B135" s="1" t="n">
        <v>43899</v>
      </c>
      <c r="C135" s="1" t="n">
        <v>45294</v>
      </c>
      <c r="D135" t="inlineStr">
        <is>
          <t>VÄSTRA GÖTALANDS LÄN</t>
        </is>
      </c>
      <c r="E135" t="inlineStr">
        <is>
          <t>MUNKEDAL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14357-2020</t>
        </is>
      </c>
      <c r="B136" s="1" t="n">
        <v>43908</v>
      </c>
      <c r="C136" s="1" t="n">
        <v>45294</v>
      </c>
      <c r="D136" t="inlineStr">
        <is>
          <t>VÄSTRA GÖTALANDS LÄN</t>
        </is>
      </c>
      <c r="E136" t="inlineStr">
        <is>
          <t>MUNKEDAL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16744-2020</t>
        </is>
      </c>
      <c r="B137" s="1" t="n">
        <v>43920</v>
      </c>
      <c r="C137" s="1" t="n">
        <v>45294</v>
      </c>
      <c r="D137" t="inlineStr">
        <is>
          <t>VÄSTRA GÖTALANDS LÄN</t>
        </is>
      </c>
      <c r="E137" t="inlineStr">
        <is>
          <t>MUNKEDAL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16726-2020</t>
        </is>
      </c>
      <c r="B138" s="1" t="n">
        <v>43920</v>
      </c>
      <c r="C138" s="1" t="n">
        <v>45294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18161-2020</t>
        </is>
      </c>
      <c r="B139" s="1" t="n">
        <v>43924</v>
      </c>
      <c r="C139" s="1" t="n">
        <v>45294</v>
      </c>
      <c r="D139" t="inlineStr">
        <is>
          <t>VÄSTRA GÖTALANDS LÄN</t>
        </is>
      </c>
      <c r="E139" t="inlineStr">
        <is>
          <t>MUNKEDAL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18353-2020</t>
        </is>
      </c>
      <c r="B140" s="1" t="n">
        <v>43928</v>
      </c>
      <c r="C140" s="1" t="n">
        <v>45294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18794-2020</t>
        </is>
      </c>
      <c r="B141" s="1" t="n">
        <v>43932</v>
      </c>
      <c r="C141" s="1" t="n">
        <v>45294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20013-2020</t>
        </is>
      </c>
      <c r="B142" s="1" t="n">
        <v>43943</v>
      </c>
      <c r="C142" s="1" t="n">
        <v>45294</v>
      </c>
      <c r="D142" t="inlineStr">
        <is>
          <t>VÄSTRA GÖTALANDS LÄN</t>
        </is>
      </c>
      <c r="E142" t="inlineStr">
        <is>
          <t>MUNKEDAL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20471-2020</t>
        </is>
      </c>
      <c r="B143" s="1" t="n">
        <v>43945</v>
      </c>
      <c r="C143" s="1" t="n">
        <v>45294</v>
      </c>
      <c r="D143" t="inlineStr">
        <is>
          <t>VÄSTRA GÖTALANDS LÄN</t>
        </is>
      </c>
      <c r="E143" t="inlineStr">
        <is>
          <t>MUNKEDAL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21693-2020</t>
        </is>
      </c>
      <c r="B144" s="1" t="n">
        <v>43957</v>
      </c>
      <c r="C144" s="1" t="n">
        <v>45294</v>
      </c>
      <c r="D144" t="inlineStr">
        <is>
          <t>VÄSTRA GÖTALANDS LÄN</t>
        </is>
      </c>
      <c r="E144" t="inlineStr">
        <is>
          <t>MUNKEDAL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21627-2020</t>
        </is>
      </c>
      <c r="B145" s="1" t="n">
        <v>43957</v>
      </c>
      <c r="C145" s="1" t="n">
        <v>45294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23251-2020</t>
        </is>
      </c>
      <c r="B146" s="1" t="n">
        <v>43964</v>
      </c>
      <c r="C146" s="1" t="n">
        <v>45294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25455-2020</t>
        </is>
      </c>
      <c r="B147" s="1" t="n">
        <v>43983</v>
      </c>
      <c r="C147" s="1" t="n">
        <v>45294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26417-2020</t>
        </is>
      </c>
      <c r="B148" s="1" t="n">
        <v>43987</v>
      </c>
      <c r="C148" s="1" t="n">
        <v>45294</v>
      </c>
      <c r="D148" t="inlineStr">
        <is>
          <t>VÄSTRA GÖTALANDS LÄN</t>
        </is>
      </c>
      <c r="E148" t="inlineStr">
        <is>
          <t>MUNKEDAL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30835-2020</t>
        </is>
      </c>
      <c r="B149" s="1" t="n">
        <v>44011</v>
      </c>
      <c r="C149" s="1" t="n">
        <v>45294</v>
      </c>
      <c r="D149" t="inlineStr">
        <is>
          <t>VÄSTRA GÖTALANDS LÄN</t>
        </is>
      </c>
      <c r="E149" t="inlineStr">
        <is>
          <t>MUNKEDAL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31713-2020</t>
        </is>
      </c>
      <c r="B150" s="1" t="n">
        <v>44014</v>
      </c>
      <c r="C150" s="1" t="n">
        <v>45294</v>
      </c>
      <c r="D150" t="inlineStr">
        <is>
          <t>VÄSTRA GÖTALANDS LÄN</t>
        </is>
      </c>
      <c r="E150" t="inlineStr">
        <is>
          <t>MUNKEDAL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32124-2020</t>
        </is>
      </c>
      <c r="B151" s="1" t="n">
        <v>44014</v>
      </c>
      <c r="C151" s="1" t="n">
        <v>45294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32125-2020</t>
        </is>
      </c>
      <c r="B152" s="1" t="n">
        <v>44014</v>
      </c>
      <c r="C152" s="1" t="n">
        <v>45294</v>
      </c>
      <c r="D152" t="inlineStr">
        <is>
          <t>VÄSTRA GÖTALANDS LÄN</t>
        </is>
      </c>
      <c r="E152" t="inlineStr">
        <is>
          <t>MUNKEDAL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32082-2020</t>
        </is>
      </c>
      <c r="B153" s="1" t="n">
        <v>44015</v>
      </c>
      <c r="C153" s="1" t="n">
        <v>45294</v>
      </c>
      <c r="D153" t="inlineStr">
        <is>
          <t>VÄSTRA GÖTALANDS LÄN</t>
        </is>
      </c>
      <c r="E153" t="inlineStr">
        <is>
          <t>MUNKEDAL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34358-2020</t>
        </is>
      </c>
      <c r="B154" s="1" t="n">
        <v>44028</v>
      </c>
      <c r="C154" s="1" t="n">
        <v>45294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35750-2020</t>
        </is>
      </c>
      <c r="B155" s="1" t="n">
        <v>44046</v>
      </c>
      <c r="C155" s="1" t="n">
        <v>45294</v>
      </c>
      <c r="D155" t="inlineStr">
        <is>
          <t>VÄSTRA GÖTALANDS LÄN</t>
        </is>
      </c>
      <c r="E155" t="inlineStr">
        <is>
          <t>MUNKEDAL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38949-2020</t>
        </is>
      </c>
      <c r="B156" s="1" t="n">
        <v>44062</v>
      </c>
      <c r="C156" s="1" t="n">
        <v>45294</v>
      </c>
      <c r="D156" t="inlineStr">
        <is>
          <t>VÄSTRA GÖTALANDS LÄN</t>
        </is>
      </c>
      <c r="E156" t="inlineStr">
        <is>
          <t>MUNKEDAL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38927-2020</t>
        </is>
      </c>
      <c r="B157" s="1" t="n">
        <v>44062</v>
      </c>
      <c r="C157" s="1" t="n">
        <v>45294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39142-2020</t>
        </is>
      </c>
      <c r="B158" s="1" t="n">
        <v>44063</v>
      </c>
      <c r="C158" s="1" t="n">
        <v>45294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39587-2020</t>
        </is>
      </c>
      <c r="B159" s="1" t="n">
        <v>44063</v>
      </c>
      <c r="C159" s="1" t="n">
        <v>45294</v>
      </c>
      <c r="D159" t="inlineStr">
        <is>
          <t>VÄSTRA GÖTALANDS LÄN</t>
        </is>
      </c>
      <c r="E159" t="inlineStr">
        <is>
          <t>MUNKEDAL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40849-2020</t>
        </is>
      </c>
      <c r="B160" s="1" t="n">
        <v>44070</v>
      </c>
      <c r="C160" s="1" t="n">
        <v>45294</v>
      </c>
      <c r="D160" t="inlineStr">
        <is>
          <t>VÄSTRA GÖTALANDS LÄN</t>
        </is>
      </c>
      <c r="E160" t="inlineStr">
        <is>
          <t>MUNKEDAL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41593-2020</t>
        </is>
      </c>
      <c r="B161" s="1" t="n">
        <v>44070</v>
      </c>
      <c r="C161" s="1" t="n">
        <v>45294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41154-2020</t>
        </is>
      </c>
      <c r="B162" s="1" t="n">
        <v>44071</v>
      </c>
      <c r="C162" s="1" t="n">
        <v>45294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42916-2020</t>
        </is>
      </c>
      <c r="B163" s="1" t="n">
        <v>44078</v>
      </c>
      <c r="C163" s="1" t="n">
        <v>45294</v>
      </c>
      <c r="D163" t="inlineStr">
        <is>
          <t>VÄSTRA GÖTALANDS LÄN</t>
        </is>
      </c>
      <c r="E163" t="inlineStr">
        <is>
          <t>MUNKEDAL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45713-2020</t>
        </is>
      </c>
      <c r="B164" s="1" t="n">
        <v>44086</v>
      </c>
      <c r="C164" s="1" t="n">
        <v>45294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49098-2020</t>
        </is>
      </c>
      <c r="B165" s="1" t="n">
        <v>44104</v>
      </c>
      <c r="C165" s="1" t="n">
        <v>45294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49427-2020</t>
        </is>
      </c>
      <c r="B166" s="1" t="n">
        <v>44105</v>
      </c>
      <c r="C166" s="1" t="n">
        <v>45294</v>
      </c>
      <c r="D166" t="inlineStr">
        <is>
          <t>VÄSTRA GÖTALANDS LÄN</t>
        </is>
      </c>
      <c r="E166" t="inlineStr">
        <is>
          <t>MUNKEDAL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51104-2020</t>
        </is>
      </c>
      <c r="B167" s="1" t="n">
        <v>44112</v>
      </c>
      <c r="C167" s="1" t="n">
        <v>45294</v>
      </c>
      <c r="D167" t="inlineStr">
        <is>
          <t>VÄSTRA GÖTALANDS LÄN</t>
        </is>
      </c>
      <c r="E167" t="inlineStr">
        <is>
          <t>MUNKEDAL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51114-2020</t>
        </is>
      </c>
      <c r="B168" s="1" t="n">
        <v>44112</v>
      </c>
      <c r="C168" s="1" t="n">
        <v>45294</v>
      </c>
      <c r="D168" t="inlineStr">
        <is>
          <t>VÄSTRA GÖTALANDS LÄN</t>
        </is>
      </c>
      <c r="E168" t="inlineStr">
        <is>
          <t>MUNKEDAL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51124-2020</t>
        </is>
      </c>
      <c r="B169" s="1" t="n">
        <v>44112</v>
      </c>
      <c r="C169" s="1" t="n">
        <v>45294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57179-2020</t>
        </is>
      </c>
      <c r="B170" s="1" t="n">
        <v>44112</v>
      </c>
      <c r="C170" s="1" t="n">
        <v>45294</v>
      </c>
      <c r="D170" t="inlineStr">
        <is>
          <t>VÄSTRA GÖTALANDS LÄN</t>
        </is>
      </c>
      <c r="E170" t="inlineStr">
        <is>
          <t>MUNKEDAL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57210-2020</t>
        </is>
      </c>
      <c r="B171" s="1" t="n">
        <v>44112</v>
      </c>
      <c r="C171" s="1" t="n">
        <v>45294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53913-2020</t>
        </is>
      </c>
      <c r="B172" s="1" t="n">
        <v>44125</v>
      </c>
      <c r="C172" s="1" t="n">
        <v>45294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54948-2020</t>
        </is>
      </c>
      <c r="B173" s="1" t="n">
        <v>44129</v>
      </c>
      <c r="C173" s="1" t="n">
        <v>45294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60207-2020</t>
        </is>
      </c>
      <c r="B174" s="1" t="n">
        <v>44152</v>
      </c>
      <c r="C174" s="1" t="n">
        <v>45294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60209-2020</t>
        </is>
      </c>
      <c r="B175" s="1" t="n">
        <v>44152</v>
      </c>
      <c r="C175" s="1" t="n">
        <v>45294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60470-2020</t>
        </is>
      </c>
      <c r="B176" s="1" t="n">
        <v>44153</v>
      </c>
      <c r="C176" s="1" t="n">
        <v>45294</v>
      </c>
      <c r="D176" t="inlineStr">
        <is>
          <t>VÄSTRA GÖTALANDS LÄN</t>
        </is>
      </c>
      <c r="E176" t="inlineStr">
        <is>
          <t>MUNKEDAL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60507-2020</t>
        </is>
      </c>
      <c r="B177" s="1" t="n">
        <v>44153</v>
      </c>
      <c r="C177" s="1" t="n">
        <v>45294</v>
      </c>
      <c r="D177" t="inlineStr">
        <is>
          <t>VÄSTRA GÖTALANDS LÄN</t>
        </is>
      </c>
      <c r="E177" t="inlineStr">
        <is>
          <t>MUNKEDAL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60416-2020</t>
        </is>
      </c>
      <c r="B178" s="1" t="n">
        <v>44153</v>
      </c>
      <c r="C178" s="1" t="n">
        <v>45294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62257-2020</t>
        </is>
      </c>
      <c r="B179" s="1" t="n">
        <v>44155</v>
      </c>
      <c r="C179" s="1" t="n">
        <v>45294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Kommuner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62313-2020</t>
        </is>
      </c>
      <c r="B180" s="1" t="n">
        <v>44160</v>
      </c>
      <c r="C180" s="1" t="n">
        <v>45294</v>
      </c>
      <c r="D180" t="inlineStr">
        <is>
          <t>VÄSTRA GÖTALANDS LÄN</t>
        </is>
      </c>
      <c r="E180" t="inlineStr">
        <is>
          <t>MUNKEDAL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62712-2020</t>
        </is>
      </c>
      <c r="B181" s="1" t="n">
        <v>44161</v>
      </c>
      <c r="C181" s="1" t="n">
        <v>45294</v>
      </c>
      <c r="D181" t="inlineStr">
        <is>
          <t>VÄSTRA GÖTALANDS LÄN</t>
        </is>
      </c>
      <c r="E181" t="inlineStr">
        <is>
          <t>MUNKEDAL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64122-2020</t>
        </is>
      </c>
      <c r="B182" s="1" t="n">
        <v>44166</v>
      </c>
      <c r="C182" s="1" t="n">
        <v>45294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65461-2020</t>
        </is>
      </c>
      <c r="B183" s="1" t="n">
        <v>44170</v>
      </c>
      <c r="C183" s="1" t="n">
        <v>45294</v>
      </c>
      <c r="D183" t="inlineStr">
        <is>
          <t>VÄSTRA GÖTALANDS LÄN</t>
        </is>
      </c>
      <c r="E183" t="inlineStr">
        <is>
          <t>MUNKEDAL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65471-2020</t>
        </is>
      </c>
      <c r="B184" s="1" t="n">
        <v>44171</v>
      </c>
      <c r="C184" s="1" t="n">
        <v>45294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103-2021</t>
        </is>
      </c>
      <c r="B185" s="1" t="n">
        <v>44200</v>
      </c>
      <c r="C185" s="1" t="n">
        <v>45294</v>
      </c>
      <c r="D185" t="inlineStr">
        <is>
          <t>VÄSTRA GÖTALANDS LÄN</t>
        </is>
      </c>
      <c r="E185" t="inlineStr">
        <is>
          <t>MUNKEDAL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889-2021</t>
        </is>
      </c>
      <c r="B186" s="1" t="n">
        <v>44206</v>
      </c>
      <c r="C186" s="1" t="n">
        <v>45294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2926-2021</t>
        </is>
      </c>
      <c r="B187" s="1" t="n">
        <v>44216</v>
      </c>
      <c r="C187" s="1" t="n">
        <v>45294</v>
      </c>
      <c r="D187" t="inlineStr">
        <is>
          <t>VÄSTRA GÖTALANDS LÄN</t>
        </is>
      </c>
      <c r="E187" t="inlineStr">
        <is>
          <t>MUNKEDAL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4332-2021</t>
        </is>
      </c>
      <c r="B188" s="1" t="n">
        <v>44223</v>
      </c>
      <c r="C188" s="1" t="n">
        <v>45294</v>
      </c>
      <c r="D188" t="inlineStr">
        <is>
          <t>VÄSTRA GÖTALANDS LÄN</t>
        </is>
      </c>
      <c r="E188" t="inlineStr">
        <is>
          <t>MUNKEDAL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5405-2021</t>
        </is>
      </c>
      <c r="B189" s="1" t="n">
        <v>44228</v>
      </c>
      <c r="C189" s="1" t="n">
        <v>45294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6899-2021</t>
        </is>
      </c>
      <c r="B190" s="1" t="n">
        <v>44237</v>
      </c>
      <c r="C190" s="1" t="n">
        <v>45294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7157-2021</t>
        </is>
      </c>
      <c r="B191" s="1" t="n">
        <v>44238</v>
      </c>
      <c r="C191" s="1" t="n">
        <v>45294</v>
      </c>
      <c r="D191" t="inlineStr">
        <is>
          <t>VÄSTRA GÖTALANDS LÄN</t>
        </is>
      </c>
      <c r="E191" t="inlineStr">
        <is>
          <t>MUNKEDAL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8093-2021</t>
        </is>
      </c>
      <c r="B192" s="1" t="n">
        <v>44242</v>
      </c>
      <c r="C192" s="1" t="n">
        <v>45294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8913-2021</t>
        </is>
      </c>
      <c r="B193" s="1" t="n">
        <v>44246</v>
      </c>
      <c r="C193" s="1" t="n">
        <v>45294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9577-2021</t>
        </is>
      </c>
      <c r="B194" s="1" t="n">
        <v>44251</v>
      </c>
      <c r="C194" s="1" t="n">
        <v>45294</v>
      </c>
      <c r="D194" t="inlineStr">
        <is>
          <t>VÄSTRA GÖTALANDS LÄN</t>
        </is>
      </c>
      <c r="E194" t="inlineStr">
        <is>
          <t>MUNKEDAL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13884-2021</t>
        </is>
      </c>
      <c r="B195" s="1" t="n">
        <v>44277</v>
      </c>
      <c r="C195" s="1" t="n">
        <v>45294</v>
      </c>
      <c r="D195" t="inlineStr">
        <is>
          <t>VÄSTRA GÖTALANDS LÄN</t>
        </is>
      </c>
      <c r="E195" t="inlineStr">
        <is>
          <t>MUNKEDAL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13969-2021</t>
        </is>
      </c>
      <c r="B196" s="1" t="n">
        <v>44277</v>
      </c>
      <c r="C196" s="1" t="n">
        <v>45294</v>
      </c>
      <c r="D196" t="inlineStr">
        <is>
          <t>VÄSTRA GÖTALANDS LÄN</t>
        </is>
      </c>
      <c r="E196" t="inlineStr">
        <is>
          <t>MUNKEDAL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17507-2021</t>
        </is>
      </c>
      <c r="B197" s="1" t="n">
        <v>44299</v>
      </c>
      <c r="C197" s="1" t="n">
        <v>45294</v>
      </c>
      <c r="D197" t="inlineStr">
        <is>
          <t>VÄSTRA GÖTALANDS LÄN</t>
        </is>
      </c>
      <c r="E197" t="inlineStr">
        <is>
          <t>MUNKEDAL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20936-2021</t>
        </is>
      </c>
      <c r="B198" s="1" t="n">
        <v>44318</v>
      </c>
      <c r="C198" s="1" t="n">
        <v>45294</v>
      </c>
      <c r="D198" t="inlineStr">
        <is>
          <t>VÄSTRA GÖTALANDS LÄN</t>
        </is>
      </c>
      <c r="E198" t="inlineStr">
        <is>
          <t>MUNKEDAL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22162-2021</t>
        </is>
      </c>
      <c r="B199" s="1" t="n">
        <v>44325</v>
      </c>
      <c r="C199" s="1" t="n">
        <v>45294</v>
      </c>
      <c r="D199" t="inlineStr">
        <is>
          <t>VÄSTRA GÖTALANDS LÄN</t>
        </is>
      </c>
      <c r="E199" t="inlineStr">
        <is>
          <t>MUNKEDAL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27387-2021</t>
        </is>
      </c>
      <c r="B200" s="1" t="n">
        <v>44351</v>
      </c>
      <c r="C200" s="1" t="n">
        <v>45294</v>
      </c>
      <c r="D200" t="inlineStr">
        <is>
          <t>VÄSTRA GÖTALANDS LÄN</t>
        </is>
      </c>
      <c r="E200" t="inlineStr">
        <is>
          <t>MUNKEDAL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27632-2021</t>
        </is>
      </c>
      <c r="B201" s="1" t="n">
        <v>44354</v>
      </c>
      <c r="C201" s="1" t="n">
        <v>45294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28354-2021</t>
        </is>
      </c>
      <c r="B202" s="1" t="n">
        <v>44356</v>
      </c>
      <c r="C202" s="1" t="n">
        <v>45294</v>
      </c>
      <c r="D202" t="inlineStr">
        <is>
          <t>VÄSTRA GÖTALANDS LÄN</t>
        </is>
      </c>
      <c r="E202" t="inlineStr">
        <is>
          <t>MUNKEDAL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28375-2021</t>
        </is>
      </c>
      <c r="B203" s="1" t="n">
        <v>44356</v>
      </c>
      <c r="C203" s="1" t="n">
        <v>45294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28379-2021</t>
        </is>
      </c>
      <c r="B204" s="1" t="n">
        <v>44356</v>
      </c>
      <c r="C204" s="1" t="n">
        <v>45294</v>
      </c>
      <c r="D204" t="inlineStr">
        <is>
          <t>VÄSTRA GÖTALANDS LÄN</t>
        </is>
      </c>
      <c r="E204" t="inlineStr">
        <is>
          <t>MUNKEDAL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28754-2021</t>
        </is>
      </c>
      <c r="B205" s="1" t="n">
        <v>44357</v>
      </c>
      <c r="C205" s="1" t="n">
        <v>45294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45294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29086-2021</t>
        </is>
      </c>
      <c r="B207" s="1" t="n">
        <v>44358</v>
      </c>
      <c r="C207" s="1" t="n">
        <v>45294</v>
      </c>
      <c r="D207" t="inlineStr">
        <is>
          <t>VÄSTRA GÖTALANDS LÄN</t>
        </is>
      </c>
      <c r="E207" t="inlineStr">
        <is>
          <t>MUNKEDAL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29087-2021</t>
        </is>
      </c>
      <c r="B208" s="1" t="n">
        <v>44358</v>
      </c>
      <c r="C208" s="1" t="n">
        <v>45294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29078-2021</t>
        </is>
      </c>
      <c r="B209" s="1" t="n">
        <v>44358</v>
      </c>
      <c r="C209" s="1" t="n">
        <v>45294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29502-2021</t>
        </is>
      </c>
      <c r="B210" s="1" t="n">
        <v>44361</v>
      </c>
      <c r="C210" s="1" t="n">
        <v>45294</v>
      </c>
      <c r="D210" t="inlineStr">
        <is>
          <t>VÄSTRA GÖTALANDS LÄN</t>
        </is>
      </c>
      <c r="E210" t="inlineStr">
        <is>
          <t>MUNKEDAL</t>
        </is>
      </c>
      <c r="G210" t="n">
        <v>25.7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31450-2021</t>
        </is>
      </c>
      <c r="B211" s="1" t="n">
        <v>44369</v>
      </c>
      <c r="C211" s="1" t="n">
        <v>45294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35449-2021</t>
        </is>
      </c>
      <c r="B212" s="1" t="n">
        <v>44385</v>
      </c>
      <c r="C212" s="1" t="n">
        <v>45294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38135-2021</t>
        </is>
      </c>
      <c r="B213" s="1" t="n">
        <v>44404</v>
      </c>
      <c r="C213" s="1" t="n">
        <v>45294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38123-2021</t>
        </is>
      </c>
      <c r="B214" s="1" t="n">
        <v>44404</v>
      </c>
      <c r="C214" s="1" t="n">
        <v>45294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38751-2021</t>
        </is>
      </c>
      <c r="B215" s="1" t="n">
        <v>44410</v>
      </c>
      <c r="C215" s="1" t="n">
        <v>45294</v>
      </c>
      <c r="D215" t="inlineStr">
        <is>
          <t>VÄSTRA GÖTALANDS LÄN</t>
        </is>
      </c>
      <c r="E215" t="inlineStr">
        <is>
          <t>MUNKEDAL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38991-2021</t>
        </is>
      </c>
      <c r="B216" s="1" t="n">
        <v>44411</v>
      </c>
      <c r="C216" s="1" t="n">
        <v>45294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38992-2021</t>
        </is>
      </c>
      <c r="B217" s="1" t="n">
        <v>44411</v>
      </c>
      <c r="C217" s="1" t="n">
        <v>45294</v>
      </c>
      <c r="D217" t="inlineStr">
        <is>
          <t>VÄSTRA GÖTALANDS LÄN</t>
        </is>
      </c>
      <c r="E217" t="inlineStr">
        <is>
          <t>MUNKEDAL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39112-2021</t>
        </is>
      </c>
      <c r="B218" s="1" t="n">
        <v>44412</v>
      </c>
      <c r="C218" s="1" t="n">
        <v>45294</v>
      </c>
      <c r="D218" t="inlineStr">
        <is>
          <t>VÄSTRA GÖTALANDS LÄN</t>
        </is>
      </c>
      <c r="E218" t="inlineStr">
        <is>
          <t>MUNKEDAL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39441-2021</t>
        </is>
      </c>
      <c r="B219" s="1" t="n">
        <v>44414</v>
      </c>
      <c r="C219" s="1" t="n">
        <v>45294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40950-2021</t>
        </is>
      </c>
      <c r="B220" s="1" t="n">
        <v>44421</v>
      </c>
      <c r="C220" s="1" t="n">
        <v>45294</v>
      </c>
      <c r="D220" t="inlineStr">
        <is>
          <t>VÄSTRA GÖTALANDS LÄN</t>
        </is>
      </c>
      <c r="E220" t="inlineStr">
        <is>
          <t>MUNKEDAL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41921-2021</t>
        </is>
      </c>
      <c r="B221" s="1" t="n">
        <v>44426</v>
      </c>
      <c r="C221" s="1" t="n">
        <v>45294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43442-2021</t>
        </is>
      </c>
      <c r="B222" s="1" t="n">
        <v>44432</v>
      </c>
      <c r="C222" s="1" t="n">
        <v>45294</v>
      </c>
      <c r="D222" t="inlineStr">
        <is>
          <t>VÄSTRA GÖTALANDS LÄN</t>
        </is>
      </c>
      <c r="E222" t="inlineStr">
        <is>
          <t>MUNKEDAL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43438-2021</t>
        </is>
      </c>
      <c r="B223" s="1" t="n">
        <v>44432</v>
      </c>
      <c r="C223" s="1" t="n">
        <v>45294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43547-2021</t>
        </is>
      </c>
      <c r="B224" s="1" t="n">
        <v>44432</v>
      </c>
      <c r="C224" s="1" t="n">
        <v>45294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43599-2021</t>
        </is>
      </c>
      <c r="B225" s="1" t="n">
        <v>44433</v>
      </c>
      <c r="C225" s="1" t="n">
        <v>45294</v>
      </c>
      <c r="D225" t="inlineStr">
        <is>
          <t>VÄSTRA GÖTALANDS LÄN</t>
        </is>
      </c>
      <c r="E225" t="inlineStr">
        <is>
          <t>MUNKEDAL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44620-2021</t>
        </is>
      </c>
      <c r="B226" s="1" t="n">
        <v>44436</v>
      </c>
      <c r="C226" s="1" t="n">
        <v>45294</v>
      </c>
      <c r="D226" t="inlineStr">
        <is>
          <t>VÄSTRA GÖTALANDS LÄN</t>
        </is>
      </c>
      <c r="E226" t="inlineStr">
        <is>
          <t>MUNKEDAL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44893-2021</t>
        </is>
      </c>
      <c r="B227" s="1" t="n">
        <v>44438</v>
      </c>
      <c r="C227" s="1" t="n">
        <v>45294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45123-2021</t>
        </is>
      </c>
      <c r="B228" s="1" t="n">
        <v>44439</v>
      </c>
      <c r="C228" s="1" t="n">
        <v>45294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45215-2021</t>
        </is>
      </c>
      <c r="B229" s="1" t="n">
        <v>44439</v>
      </c>
      <c r="C229" s="1" t="n">
        <v>45294</v>
      </c>
      <c r="D229" t="inlineStr">
        <is>
          <t>VÄSTRA GÖTALANDS LÄN</t>
        </is>
      </c>
      <c r="E229" t="inlineStr">
        <is>
          <t>MUNKEDAL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45222-2021</t>
        </is>
      </c>
      <c r="B230" s="1" t="n">
        <v>44439</v>
      </c>
      <c r="C230" s="1" t="n">
        <v>45294</v>
      </c>
      <c r="D230" t="inlineStr">
        <is>
          <t>VÄSTRA GÖTALANDS LÄN</t>
        </is>
      </c>
      <c r="E230" t="inlineStr">
        <is>
          <t>MUNKEDAL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45150-2021</t>
        </is>
      </c>
      <c r="B231" s="1" t="n">
        <v>44439</v>
      </c>
      <c r="C231" s="1" t="n">
        <v>45294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46068-2021</t>
        </is>
      </c>
      <c r="B232" s="1" t="n">
        <v>44441</v>
      </c>
      <c r="C232" s="1" t="n">
        <v>45294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47378-2021</t>
        </is>
      </c>
      <c r="B233" s="1" t="n">
        <v>44447</v>
      </c>
      <c r="C233" s="1" t="n">
        <v>45294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49946-2021</t>
        </is>
      </c>
      <c r="B234" s="1" t="n">
        <v>44454</v>
      </c>
      <c r="C234" s="1" t="n">
        <v>45294</v>
      </c>
      <c r="D234" t="inlineStr">
        <is>
          <t>VÄSTRA GÖTALANDS LÄN</t>
        </is>
      </c>
      <c r="E234" t="inlineStr">
        <is>
          <t>MUNKEDAL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50336-2021</t>
        </is>
      </c>
      <c r="B235" s="1" t="n">
        <v>44459</v>
      </c>
      <c r="C235" s="1" t="n">
        <v>45294</v>
      </c>
      <c r="D235" t="inlineStr">
        <is>
          <t>VÄSTRA GÖTALANDS LÄN</t>
        </is>
      </c>
      <c r="E235" t="inlineStr">
        <is>
          <t>MUNKEDAL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50650-2021</t>
        </is>
      </c>
      <c r="B236" s="1" t="n">
        <v>44459</v>
      </c>
      <c r="C236" s="1" t="n">
        <v>45294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53839-2021</t>
        </is>
      </c>
      <c r="B237" s="1" t="n">
        <v>44467</v>
      </c>
      <c r="C237" s="1" t="n">
        <v>45294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54349-2021</t>
        </is>
      </c>
      <c r="B238" s="1" t="n">
        <v>44473</v>
      </c>
      <c r="C238" s="1" t="n">
        <v>45294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54353-2021</t>
        </is>
      </c>
      <c r="B239" s="1" t="n">
        <v>44473</v>
      </c>
      <c r="C239" s="1" t="n">
        <v>45294</v>
      </c>
      <c r="D239" t="inlineStr">
        <is>
          <t>VÄSTRA GÖTALANDS LÄN</t>
        </is>
      </c>
      <c r="E239" t="inlineStr">
        <is>
          <t>MUNKEDAL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56789-2021</t>
        </is>
      </c>
      <c r="B240" s="1" t="n">
        <v>44481</v>
      </c>
      <c r="C240" s="1" t="n">
        <v>45294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58066-2021</t>
        </is>
      </c>
      <c r="B241" s="1" t="n">
        <v>44487</v>
      </c>
      <c r="C241" s="1" t="n">
        <v>45294</v>
      </c>
      <c r="D241" t="inlineStr">
        <is>
          <t>VÄSTRA GÖTALANDS LÄN</t>
        </is>
      </c>
      <c r="E241" t="inlineStr">
        <is>
          <t>MUNKEDAL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59514-2021</t>
        </is>
      </c>
      <c r="B242" s="1" t="n">
        <v>44491</v>
      </c>
      <c r="C242" s="1" t="n">
        <v>45294</v>
      </c>
      <c r="D242" t="inlineStr">
        <is>
          <t>VÄSTRA GÖTALANDS LÄN</t>
        </is>
      </c>
      <c r="E242" t="inlineStr">
        <is>
          <t>MUNKEDAL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60859-2021</t>
        </is>
      </c>
      <c r="B243" s="1" t="n">
        <v>44497</v>
      </c>
      <c r="C243" s="1" t="n">
        <v>45294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60863-2021</t>
        </is>
      </c>
      <c r="B244" s="1" t="n">
        <v>44497</v>
      </c>
      <c r="C244" s="1" t="n">
        <v>45294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61336-2021</t>
        </is>
      </c>
      <c r="B245" s="1" t="n">
        <v>44498</v>
      </c>
      <c r="C245" s="1" t="n">
        <v>45294</v>
      </c>
      <c r="D245" t="inlineStr">
        <is>
          <t>VÄSTRA GÖTALANDS LÄN</t>
        </is>
      </c>
      <c r="E245" t="inlineStr">
        <is>
          <t>MUNKEDAL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63901-2021</t>
        </is>
      </c>
      <c r="B246" s="1" t="n">
        <v>44509</v>
      </c>
      <c r="C246" s="1" t="n">
        <v>45294</v>
      </c>
      <c r="D246" t="inlineStr">
        <is>
          <t>VÄSTRA GÖTALANDS LÄN</t>
        </is>
      </c>
      <c r="E246" t="inlineStr">
        <is>
          <t>MUNKEDAL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64731-2021</t>
        </is>
      </c>
      <c r="B247" s="1" t="n">
        <v>44512</v>
      </c>
      <c r="C247" s="1" t="n">
        <v>45294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65327-2021</t>
        </is>
      </c>
      <c r="B248" s="1" t="n">
        <v>44515</v>
      </c>
      <c r="C248" s="1" t="n">
        <v>45294</v>
      </c>
      <c r="D248" t="inlineStr">
        <is>
          <t>VÄSTRA GÖTALANDS LÄN</t>
        </is>
      </c>
      <c r="E248" t="inlineStr">
        <is>
          <t>MUNKEDAL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67233-2021</t>
        </is>
      </c>
      <c r="B249" s="1" t="n">
        <v>44523</v>
      </c>
      <c r="C249" s="1" t="n">
        <v>45294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68218-2021</t>
        </is>
      </c>
      <c r="B250" s="1" t="n">
        <v>44525</v>
      </c>
      <c r="C250" s="1" t="n">
        <v>45294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68173-2021</t>
        </is>
      </c>
      <c r="B251" s="1" t="n">
        <v>44526</v>
      </c>
      <c r="C251" s="1" t="n">
        <v>45294</v>
      </c>
      <c r="D251" t="inlineStr">
        <is>
          <t>VÄSTRA GÖTALANDS LÄN</t>
        </is>
      </c>
      <c r="E251" t="inlineStr">
        <is>
          <t>MUNKEDAL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68333-2021</t>
        </is>
      </c>
      <c r="B252" s="1" t="n">
        <v>44527</v>
      </c>
      <c r="C252" s="1" t="n">
        <v>45294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68596-2021</t>
        </is>
      </c>
      <c r="B253" s="1" t="n">
        <v>44529</v>
      </c>
      <c r="C253" s="1" t="n">
        <v>45294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73977-2021</t>
        </is>
      </c>
      <c r="B254" s="1" t="n">
        <v>44554</v>
      </c>
      <c r="C254" s="1" t="n">
        <v>45294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244-2022</t>
        </is>
      </c>
      <c r="B255" s="1" t="n">
        <v>44563</v>
      </c>
      <c r="C255" s="1" t="n">
        <v>45294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186-2022</t>
        </is>
      </c>
      <c r="B256" s="1" t="n">
        <v>44563</v>
      </c>
      <c r="C256" s="1" t="n">
        <v>45294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828-2022</t>
        </is>
      </c>
      <c r="B257" s="1" t="n">
        <v>44563</v>
      </c>
      <c r="C257" s="1" t="n">
        <v>45294</v>
      </c>
      <c r="D257" t="inlineStr">
        <is>
          <t>VÄSTRA GÖTALANDS LÄN</t>
        </is>
      </c>
      <c r="E257" t="inlineStr">
        <is>
          <t>MUNKEDAL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1523-2022</t>
        </is>
      </c>
      <c r="B258" s="1" t="n">
        <v>44573</v>
      </c>
      <c r="C258" s="1" t="n">
        <v>45294</v>
      </c>
      <c r="D258" t="inlineStr">
        <is>
          <t>VÄSTRA GÖTALANDS LÄN</t>
        </is>
      </c>
      <c r="E258" t="inlineStr">
        <is>
          <t>MUNKEDAL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1545-2022</t>
        </is>
      </c>
      <c r="B259" s="1" t="n">
        <v>44573</v>
      </c>
      <c r="C259" s="1" t="n">
        <v>45294</v>
      </c>
      <c r="D259" t="inlineStr">
        <is>
          <t>VÄSTRA GÖTALANDS LÄN</t>
        </is>
      </c>
      <c r="E259" t="inlineStr">
        <is>
          <t>MUNKEDAL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1808-2022</t>
        </is>
      </c>
      <c r="B260" s="1" t="n">
        <v>44574</v>
      </c>
      <c r="C260" s="1" t="n">
        <v>45294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1924-2022</t>
        </is>
      </c>
      <c r="B261" s="1" t="n">
        <v>44575</v>
      </c>
      <c r="C261" s="1" t="n">
        <v>45294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2483-2022</t>
        </is>
      </c>
      <c r="B262" s="1" t="n">
        <v>44579</v>
      </c>
      <c r="C262" s="1" t="n">
        <v>45294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2481-2022</t>
        </is>
      </c>
      <c r="B263" s="1" t="n">
        <v>44579</v>
      </c>
      <c r="C263" s="1" t="n">
        <v>45294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2634-2022</t>
        </is>
      </c>
      <c r="B264" s="1" t="n">
        <v>44580</v>
      </c>
      <c r="C264" s="1" t="n">
        <v>45294</v>
      </c>
      <c r="D264" t="inlineStr">
        <is>
          <t>VÄSTRA GÖTALANDS LÄN</t>
        </is>
      </c>
      <c r="E264" t="inlineStr">
        <is>
          <t>MUNKEDAL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2635-2022</t>
        </is>
      </c>
      <c r="B265" s="1" t="n">
        <v>44580</v>
      </c>
      <c r="C265" s="1" t="n">
        <v>45294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2797-2022</t>
        </is>
      </c>
      <c r="B266" s="1" t="n">
        <v>44581</v>
      </c>
      <c r="C266" s="1" t="n">
        <v>45294</v>
      </c>
      <c r="D266" t="inlineStr">
        <is>
          <t>VÄSTRA GÖTALANDS LÄN</t>
        </is>
      </c>
      <c r="E266" t="inlineStr">
        <is>
          <t>MUNKEDAL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4259-2022</t>
        </is>
      </c>
      <c r="B267" s="1" t="n">
        <v>44588</v>
      </c>
      <c r="C267" s="1" t="n">
        <v>45294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4276-2022</t>
        </is>
      </c>
      <c r="B268" s="1" t="n">
        <v>44588</v>
      </c>
      <c r="C268" s="1" t="n">
        <v>45294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4252-2022</t>
        </is>
      </c>
      <c r="B269" s="1" t="n">
        <v>44588</v>
      </c>
      <c r="C269" s="1" t="n">
        <v>45294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4875-2022</t>
        </is>
      </c>
      <c r="B270" s="1" t="n">
        <v>44592</v>
      </c>
      <c r="C270" s="1" t="n">
        <v>45294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5139-2022</t>
        </is>
      </c>
      <c r="B271" s="1" t="n">
        <v>44593</v>
      </c>
      <c r="C271" s="1" t="n">
        <v>45294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7389-2022</t>
        </is>
      </c>
      <c r="B272" s="1" t="n">
        <v>44606</v>
      </c>
      <c r="C272" s="1" t="n">
        <v>45294</v>
      </c>
      <c r="D272" t="inlineStr">
        <is>
          <t>VÄSTRA GÖTALANDS LÄN</t>
        </is>
      </c>
      <c r="E272" t="inlineStr">
        <is>
          <t>MUNKEDAL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7450-2022</t>
        </is>
      </c>
      <c r="B273" s="1" t="n">
        <v>44606</v>
      </c>
      <c r="C273" s="1" t="n">
        <v>45294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7524-2022</t>
        </is>
      </c>
      <c r="B274" s="1" t="n">
        <v>44607</v>
      </c>
      <c r="C274" s="1" t="n">
        <v>45294</v>
      </c>
      <c r="D274" t="inlineStr">
        <is>
          <t>VÄSTRA GÖTALANDS LÄN</t>
        </is>
      </c>
      <c r="E274" t="inlineStr">
        <is>
          <t>MUNKEDAL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7844-2022</t>
        </is>
      </c>
      <c r="B275" s="1" t="n">
        <v>44608</v>
      </c>
      <c r="C275" s="1" t="n">
        <v>45294</v>
      </c>
      <c r="D275" t="inlineStr">
        <is>
          <t>VÄSTRA GÖTALANDS LÄN</t>
        </is>
      </c>
      <c r="E275" t="inlineStr">
        <is>
          <t>MUNKEDAL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7853-2022</t>
        </is>
      </c>
      <c r="B276" s="1" t="n">
        <v>44608</v>
      </c>
      <c r="C276" s="1" t="n">
        <v>45294</v>
      </c>
      <c r="D276" t="inlineStr">
        <is>
          <t>VÄSTRA GÖTALANDS LÄN</t>
        </is>
      </c>
      <c r="E276" t="inlineStr">
        <is>
          <t>MUNKEDAL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8218-2022</t>
        </is>
      </c>
      <c r="B277" s="1" t="n">
        <v>44609</v>
      </c>
      <c r="C277" s="1" t="n">
        <v>45294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8185-2022</t>
        </is>
      </c>
      <c r="B278" s="1" t="n">
        <v>44609</v>
      </c>
      <c r="C278" s="1" t="n">
        <v>45294</v>
      </c>
      <c r="D278" t="inlineStr">
        <is>
          <t>VÄSTRA GÖTALANDS LÄN</t>
        </is>
      </c>
      <c r="E278" t="inlineStr">
        <is>
          <t>MUNKEDAL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10210-2022</t>
        </is>
      </c>
      <c r="B279" s="1" t="n">
        <v>44622</v>
      </c>
      <c r="C279" s="1" t="n">
        <v>45294</v>
      </c>
      <c r="D279" t="inlineStr">
        <is>
          <t>VÄSTRA GÖTALANDS LÄN</t>
        </is>
      </c>
      <c r="E279" t="inlineStr">
        <is>
          <t>MUNKEDAL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11195-2022</t>
        </is>
      </c>
      <c r="B280" s="1" t="n">
        <v>44629</v>
      </c>
      <c r="C280" s="1" t="n">
        <v>45294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11367-2022</t>
        </is>
      </c>
      <c r="B281" s="1" t="n">
        <v>44630</v>
      </c>
      <c r="C281" s="1" t="n">
        <v>45294</v>
      </c>
      <c r="D281" t="inlineStr">
        <is>
          <t>VÄSTRA GÖTALANDS LÄN</t>
        </is>
      </c>
      <c r="E281" t="inlineStr">
        <is>
          <t>MUNKEDAL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12211-2022</t>
        </is>
      </c>
      <c r="B282" s="1" t="n">
        <v>44636</v>
      </c>
      <c r="C282" s="1" t="n">
        <v>45294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15835-2022</t>
        </is>
      </c>
      <c r="B283" s="1" t="n">
        <v>44664</v>
      </c>
      <c r="C283" s="1" t="n">
        <v>45294</v>
      </c>
      <c r="D283" t="inlineStr">
        <is>
          <t>VÄSTRA GÖTALANDS LÄN</t>
        </is>
      </c>
      <c r="E283" t="inlineStr">
        <is>
          <t>MUNKEDAL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16634-2022</t>
        </is>
      </c>
      <c r="B284" s="1" t="n">
        <v>44672</v>
      </c>
      <c r="C284" s="1" t="n">
        <v>45294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16621-2022</t>
        </is>
      </c>
      <c r="B285" s="1" t="n">
        <v>44672</v>
      </c>
      <c r="C285" s="1" t="n">
        <v>45294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16631-2022</t>
        </is>
      </c>
      <c r="B286" s="1" t="n">
        <v>44672</v>
      </c>
      <c r="C286" s="1" t="n">
        <v>45294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16638-2022</t>
        </is>
      </c>
      <c r="B287" s="1" t="n">
        <v>44672</v>
      </c>
      <c r="C287" s="1" t="n">
        <v>45294</v>
      </c>
      <c r="D287" t="inlineStr">
        <is>
          <t>VÄSTRA GÖTALANDS LÄN</t>
        </is>
      </c>
      <c r="E287" t="inlineStr">
        <is>
          <t>MUNKEDAL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17338-2022</t>
        </is>
      </c>
      <c r="B288" s="1" t="n">
        <v>44678</v>
      </c>
      <c r="C288" s="1" t="n">
        <v>45294</v>
      </c>
      <c r="D288" t="inlineStr">
        <is>
          <t>VÄSTRA GÖTALANDS LÄN</t>
        </is>
      </c>
      <c r="E288" t="inlineStr">
        <is>
          <t>MUNKEDAL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17967-2022</t>
        </is>
      </c>
      <c r="B289" s="1" t="n">
        <v>44683</v>
      </c>
      <c r="C289" s="1" t="n">
        <v>45294</v>
      </c>
      <c r="D289" t="inlineStr">
        <is>
          <t>VÄSTRA GÖTALANDS LÄN</t>
        </is>
      </c>
      <c r="E289" t="inlineStr">
        <is>
          <t>MUNKEDAL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17972-2022</t>
        </is>
      </c>
      <c r="B290" s="1" t="n">
        <v>44683</v>
      </c>
      <c r="C290" s="1" t="n">
        <v>45294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17971-2022</t>
        </is>
      </c>
      <c r="B291" s="1" t="n">
        <v>44683</v>
      </c>
      <c r="C291" s="1" t="n">
        <v>45294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18456-2022</t>
        </is>
      </c>
      <c r="B292" s="1" t="n">
        <v>44686</v>
      </c>
      <c r="C292" s="1" t="n">
        <v>45294</v>
      </c>
      <c r="D292" t="inlineStr">
        <is>
          <t>VÄSTRA GÖTALANDS LÄN</t>
        </is>
      </c>
      <c r="E292" t="inlineStr">
        <is>
          <t>MUNKEDAL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18965-2022</t>
        </is>
      </c>
      <c r="B293" s="1" t="n">
        <v>44690</v>
      </c>
      <c r="C293" s="1" t="n">
        <v>45294</v>
      </c>
      <c r="D293" t="inlineStr">
        <is>
          <t>VÄSTRA GÖTALANDS LÄN</t>
        </is>
      </c>
      <c r="E293" t="inlineStr">
        <is>
          <t>MUNKEDAL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19120-2022</t>
        </is>
      </c>
      <c r="B294" s="1" t="n">
        <v>44691</v>
      </c>
      <c r="C294" s="1" t="n">
        <v>45294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19188-2022</t>
        </is>
      </c>
      <c r="B295" s="1" t="n">
        <v>44691</v>
      </c>
      <c r="C295" s="1" t="n">
        <v>45294</v>
      </c>
      <c r="D295" t="inlineStr">
        <is>
          <t>VÄSTRA GÖTALANDS LÄN</t>
        </is>
      </c>
      <c r="E295" t="inlineStr">
        <is>
          <t>MUNKEDAL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19631-2022</t>
        </is>
      </c>
      <c r="B296" s="1" t="n">
        <v>44694</v>
      </c>
      <c r="C296" s="1" t="n">
        <v>45294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19887-2022</t>
        </is>
      </c>
      <c r="B297" s="1" t="n">
        <v>44697</v>
      </c>
      <c r="C297" s="1" t="n">
        <v>45294</v>
      </c>
      <c r="D297" t="inlineStr">
        <is>
          <t>VÄSTRA GÖTALANDS LÄN</t>
        </is>
      </c>
      <c r="E297" t="inlineStr">
        <is>
          <t>MUNKEDAL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20251-2022</t>
        </is>
      </c>
      <c r="B298" s="1" t="n">
        <v>44698</v>
      </c>
      <c r="C298" s="1" t="n">
        <v>45294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20258-2022</t>
        </is>
      </c>
      <c r="B299" s="1" t="n">
        <v>44698</v>
      </c>
      <c r="C299" s="1" t="n">
        <v>45294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20320-2022</t>
        </is>
      </c>
      <c r="B300" s="1" t="n">
        <v>44699</v>
      </c>
      <c r="C300" s="1" t="n">
        <v>45294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21129-2022</t>
        </is>
      </c>
      <c r="B301" s="1" t="n">
        <v>44704</v>
      </c>
      <c r="C301" s="1" t="n">
        <v>45294</v>
      </c>
      <c r="D301" t="inlineStr">
        <is>
          <t>VÄSTRA GÖTALANDS LÄN</t>
        </is>
      </c>
      <c r="E301" t="inlineStr">
        <is>
          <t>MUNKEDAL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21125-2022</t>
        </is>
      </c>
      <c r="B302" s="1" t="n">
        <v>44704</v>
      </c>
      <c r="C302" s="1" t="n">
        <v>45294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22857-2022</t>
        </is>
      </c>
      <c r="B303" s="1" t="n">
        <v>44715</v>
      </c>
      <c r="C303" s="1" t="n">
        <v>45294</v>
      </c>
      <c r="D303" t="inlineStr">
        <is>
          <t>VÄSTRA GÖTALANDS LÄN</t>
        </is>
      </c>
      <c r="E303" t="inlineStr">
        <is>
          <t>MUNKEDAL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25543-2022</t>
        </is>
      </c>
      <c r="B304" s="1" t="n">
        <v>44732</v>
      </c>
      <c r="C304" s="1" t="n">
        <v>45294</v>
      </c>
      <c r="D304" t="inlineStr">
        <is>
          <t>VÄSTRA GÖTALANDS LÄN</t>
        </is>
      </c>
      <c r="E304" t="inlineStr">
        <is>
          <t>MUNKEDAL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26251-2022</t>
        </is>
      </c>
      <c r="B305" s="1" t="n">
        <v>44734</v>
      </c>
      <c r="C305" s="1" t="n">
        <v>45294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26632-2022</t>
        </is>
      </c>
      <c r="B306" s="1" t="n">
        <v>44739</v>
      </c>
      <c r="C306" s="1" t="n">
        <v>45294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28393-2022</t>
        </is>
      </c>
      <c r="B307" s="1" t="n">
        <v>44747</v>
      </c>
      <c r="C307" s="1" t="n">
        <v>45294</v>
      </c>
      <c r="D307" t="inlineStr">
        <is>
          <t>VÄSTRA GÖTALANDS LÄN</t>
        </is>
      </c>
      <c r="E307" t="inlineStr">
        <is>
          <t>MUNKEDAL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28665-2022</t>
        </is>
      </c>
      <c r="B308" s="1" t="n">
        <v>44748</v>
      </c>
      <c r="C308" s="1" t="n">
        <v>45294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28667-2022</t>
        </is>
      </c>
      <c r="B309" s="1" t="n">
        <v>44748</v>
      </c>
      <c r="C309" s="1" t="n">
        <v>45294</v>
      </c>
      <c r="D309" t="inlineStr">
        <is>
          <t>VÄSTRA GÖTALANDS LÄN</t>
        </is>
      </c>
      <c r="E309" t="inlineStr">
        <is>
          <t>MUNKEDAL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28995-2022</t>
        </is>
      </c>
      <c r="B310" s="1" t="n">
        <v>44749</v>
      </c>
      <c r="C310" s="1" t="n">
        <v>45294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29707-2022</t>
        </is>
      </c>
      <c r="B311" s="1" t="n">
        <v>44755</v>
      </c>
      <c r="C311" s="1" t="n">
        <v>45294</v>
      </c>
      <c r="D311" t="inlineStr">
        <is>
          <t>VÄSTRA GÖTALANDS LÄN</t>
        </is>
      </c>
      <c r="E311" t="inlineStr">
        <is>
          <t>MUNKEDAL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30308-2022</t>
        </is>
      </c>
      <c r="B312" s="1" t="n">
        <v>44760</v>
      </c>
      <c r="C312" s="1" t="n">
        <v>45294</v>
      </c>
      <c r="D312" t="inlineStr">
        <is>
          <t>VÄSTRA GÖTALANDS LÄN</t>
        </is>
      </c>
      <c r="E312" t="inlineStr">
        <is>
          <t>MUNKEDAL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31350-2022</t>
        </is>
      </c>
      <c r="B313" s="1" t="n">
        <v>44774</v>
      </c>
      <c r="C313" s="1" t="n">
        <v>45294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34766-2022</t>
        </is>
      </c>
      <c r="B314" s="1" t="n">
        <v>44795</v>
      </c>
      <c r="C314" s="1" t="n">
        <v>45294</v>
      </c>
      <c r="D314" t="inlineStr">
        <is>
          <t>VÄSTRA GÖTALANDS LÄN</t>
        </is>
      </c>
      <c r="E314" t="inlineStr">
        <is>
          <t>MUNKEDAL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37327-2022</t>
        </is>
      </c>
      <c r="B315" s="1" t="n">
        <v>44806</v>
      </c>
      <c r="C315" s="1" t="n">
        <v>45294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37330-2022</t>
        </is>
      </c>
      <c r="B316" s="1" t="n">
        <v>44806</v>
      </c>
      <c r="C316" s="1" t="n">
        <v>45294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38164-2022</t>
        </is>
      </c>
      <c r="B317" s="1" t="n">
        <v>44812</v>
      </c>
      <c r="C317" s="1" t="n">
        <v>45294</v>
      </c>
      <c r="D317" t="inlineStr">
        <is>
          <t>VÄSTRA GÖTALANDS LÄN</t>
        </is>
      </c>
      <c r="E317" t="inlineStr">
        <is>
          <t>MUNKEDAL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39484-2022</t>
        </is>
      </c>
      <c r="B318" s="1" t="n">
        <v>44817</v>
      </c>
      <c r="C318" s="1" t="n">
        <v>45294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40185-2022</t>
        </is>
      </c>
      <c r="B319" s="1" t="n">
        <v>44818</v>
      </c>
      <c r="C319" s="1" t="n">
        <v>45294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40232-2022</t>
        </is>
      </c>
      <c r="B320" s="1" t="n">
        <v>44820</v>
      </c>
      <c r="C320" s="1" t="n">
        <v>45294</v>
      </c>
      <c r="D320" t="inlineStr">
        <is>
          <t>VÄSTRA GÖTALANDS LÄN</t>
        </is>
      </c>
      <c r="E320" t="inlineStr">
        <is>
          <t>MUNKEDAL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40228-2022</t>
        </is>
      </c>
      <c r="B321" s="1" t="n">
        <v>44820</v>
      </c>
      <c r="C321" s="1" t="n">
        <v>45294</v>
      </c>
      <c r="D321" t="inlineStr">
        <is>
          <t>VÄSTRA GÖTALANDS LÄN</t>
        </is>
      </c>
      <c r="E321" t="inlineStr">
        <is>
          <t>MUNKEDAL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40940-2022</t>
        </is>
      </c>
      <c r="B322" s="1" t="n">
        <v>44823</v>
      </c>
      <c r="C322" s="1" t="n">
        <v>45294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40976-2022</t>
        </is>
      </c>
      <c r="B323" s="1" t="n">
        <v>44825</v>
      </c>
      <c r="C323" s="1" t="n">
        <v>45294</v>
      </c>
      <c r="D323" t="inlineStr">
        <is>
          <t>VÄSTRA GÖTALANDS LÄN</t>
        </is>
      </c>
      <c r="E323" t="inlineStr">
        <is>
          <t>MUNKEDAL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41615-2022</t>
        </is>
      </c>
      <c r="B324" s="1" t="n">
        <v>44827</v>
      </c>
      <c r="C324" s="1" t="n">
        <v>45294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42585-2022</t>
        </is>
      </c>
      <c r="B325" s="1" t="n">
        <v>44831</v>
      </c>
      <c r="C325" s="1" t="n">
        <v>45294</v>
      </c>
      <c r="D325" t="inlineStr">
        <is>
          <t>VÄSTRA GÖTALANDS LÄN</t>
        </is>
      </c>
      <c r="E325" t="inlineStr">
        <is>
          <t>MUNKEDAL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43360-2022</t>
        </is>
      </c>
      <c r="B326" s="1" t="n">
        <v>44834</v>
      </c>
      <c r="C326" s="1" t="n">
        <v>45294</v>
      </c>
      <c r="D326" t="inlineStr">
        <is>
          <t>VÄSTRA GÖTALANDS LÄN</t>
        </is>
      </c>
      <c r="E326" t="inlineStr">
        <is>
          <t>MUNKEDAL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44886-2022</t>
        </is>
      </c>
      <c r="B327" s="1" t="n">
        <v>44839</v>
      </c>
      <c r="C327" s="1" t="n">
        <v>45294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49218-2022</t>
        </is>
      </c>
      <c r="B328" s="1" t="n">
        <v>44861</v>
      </c>
      <c r="C328" s="1" t="n">
        <v>45294</v>
      </c>
      <c r="D328" t="inlineStr">
        <is>
          <t>VÄSTRA GÖTALANDS LÄN</t>
        </is>
      </c>
      <c r="E328" t="inlineStr">
        <is>
          <t>MUNKEDAL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51411-2022</t>
        </is>
      </c>
      <c r="B329" s="1" t="n">
        <v>44866</v>
      </c>
      <c r="C329" s="1" t="n">
        <v>45294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51401-2022</t>
        </is>
      </c>
      <c r="B330" s="1" t="n">
        <v>44866</v>
      </c>
      <c r="C330" s="1" t="n">
        <v>45294</v>
      </c>
      <c r="D330" t="inlineStr">
        <is>
          <t>VÄSTRA GÖTALANDS LÄN</t>
        </is>
      </c>
      <c r="E330" t="inlineStr">
        <is>
          <t>MUNKEDAL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51407-2022</t>
        </is>
      </c>
      <c r="B331" s="1" t="n">
        <v>44866</v>
      </c>
      <c r="C331" s="1" t="n">
        <v>45294</v>
      </c>
      <c r="D331" t="inlineStr">
        <is>
          <t>VÄSTRA GÖTALANDS LÄN</t>
        </is>
      </c>
      <c r="E331" t="inlineStr">
        <is>
          <t>MUNKEDAL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51423-2022</t>
        </is>
      </c>
      <c r="B332" s="1" t="n">
        <v>44866</v>
      </c>
      <c r="C332" s="1" t="n">
        <v>45294</v>
      </c>
      <c r="D332" t="inlineStr">
        <is>
          <t>VÄSTRA GÖTALANDS LÄN</t>
        </is>
      </c>
      <c r="E332" t="inlineStr">
        <is>
          <t>MUNKEDAL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51404-2022</t>
        </is>
      </c>
      <c r="B333" s="1" t="n">
        <v>44866</v>
      </c>
      <c r="C333" s="1" t="n">
        <v>45294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51421-2022</t>
        </is>
      </c>
      <c r="B334" s="1" t="n">
        <v>44866</v>
      </c>
      <c r="C334" s="1" t="n">
        <v>45294</v>
      </c>
      <c r="D334" t="inlineStr">
        <is>
          <t>VÄSTRA GÖTALANDS LÄN</t>
        </is>
      </c>
      <c r="E334" t="inlineStr">
        <is>
          <t>MUNKEDAL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51409-2022</t>
        </is>
      </c>
      <c r="B335" s="1" t="n">
        <v>44866</v>
      </c>
      <c r="C335" s="1" t="n">
        <v>45294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51431-2022</t>
        </is>
      </c>
      <c r="B336" s="1" t="n">
        <v>44866</v>
      </c>
      <c r="C336" s="1" t="n">
        <v>45294</v>
      </c>
      <c r="D336" t="inlineStr">
        <is>
          <t>VÄSTRA GÖTALANDS LÄN</t>
        </is>
      </c>
      <c r="E336" t="inlineStr">
        <is>
          <t>MUNKEDAL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52302-2022</t>
        </is>
      </c>
      <c r="B337" s="1" t="n">
        <v>44873</v>
      </c>
      <c r="C337" s="1" t="n">
        <v>45294</v>
      </c>
      <c r="D337" t="inlineStr">
        <is>
          <t>VÄSTRA GÖTALANDS LÄN</t>
        </is>
      </c>
      <c r="E337" t="inlineStr">
        <is>
          <t>MUNKEDAL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55604-2022</t>
        </is>
      </c>
      <c r="B338" s="1" t="n">
        <v>44888</v>
      </c>
      <c r="C338" s="1" t="n">
        <v>45294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56037-2022</t>
        </is>
      </c>
      <c r="B339" s="1" t="n">
        <v>44889</v>
      </c>
      <c r="C339" s="1" t="n">
        <v>45294</v>
      </c>
      <c r="D339" t="inlineStr">
        <is>
          <t>VÄSTRA GÖTALANDS LÄN</t>
        </is>
      </c>
      <c r="E339" t="inlineStr">
        <is>
          <t>MUNKEDAL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57409-2022</t>
        </is>
      </c>
      <c r="B340" s="1" t="n">
        <v>44896</v>
      </c>
      <c r="C340" s="1" t="n">
        <v>45294</v>
      </c>
      <c r="D340" t="inlineStr">
        <is>
          <t>VÄSTRA GÖTALANDS LÄN</t>
        </is>
      </c>
      <c r="E340" t="inlineStr">
        <is>
          <t>MUNKEDAL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57327-2022</t>
        </is>
      </c>
      <c r="B341" s="1" t="n">
        <v>44896</v>
      </c>
      <c r="C341" s="1" t="n">
        <v>45294</v>
      </c>
      <c r="D341" t="inlineStr">
        <is>
          <t>VÄSTRA GÖTALANDS LÄN</t>
        </is>
      </c>
      <c r="E341" t="inlineStr">
        <is>
          <t>MUNKEDAL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57404-2022</t>
        </is>
      </c>
      <c r="B342" s="1" t="n">
        <v>44896</v>
      </c>
      <c r="C342" s="1" t="n">
        <v>45294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57412-2022</t>
        </is>
      </c>
      <c r="B343" s="1" t="n">
        <v>44896</v>
      </c>
      <c r="C343" s="1" t="n">
        <v>45294</v>
      </c>
      <c r="D343" t="inlineStr">
        <is>
          <t>VÄSTRA GÖTALANDS LÄN</t>
        </is>
      </c>
      <c r="E343" t="inlineStr">
        <is>
          <t>MUNKEDAL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59160-2022</t>
        </is>
      </c>
      <c r="B344" s="1" t="n">
        <v>44897</v>
      </c>
      <c r="C344" s="1" t="n">
        <v>45294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59150-2022</t>
        </is>
      </c>
      <c r="B345" s="1" t="n">
        <v>44897</v>
      </c>
      <c r="C345" s="1" t="n">
        <v>45294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59171-2022</t>
        </is>
      </c>
      <c r="B346" s="1" t="n">
        <v>44897</v>
      </c>
      <c r="C346" s="1" t="n">
        <v>45294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58270-2022</t>
        </is>
      </c>
      <c r="B347" s="1" t="n">
        <v>44901</v>
      </c>
      <c r="C347" s="1" t="n">
        <v>45294</v>
      </c>
      <c r="D347" t="inlineStr">
        <is>
          <t>VÄSTRA GÖTALANDS LÄN</t>
        </is>
      </c>
      <c r="E347" t="inlineStr">
        <is>
          <t>MUNKEDAL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58887-2022</t>
        </is>
      </c>
      <c r="B348" s="1" t="n">
        <v>44903</v>
      </c>
      <c r="C348" s="1" t="n">
        <v>45294</v>
      </c>
      <c r="D348" t="inlineStr">
        <is>
          <t>VÄSTRA GÖTALANDS LÄN</t>
        </is>
      </c>
      <c r="E348" t="inlineStr">
        <is>
          <t>MUNKEDAL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58888-2022</t>
        </is>
      </c>
      <c r="B349" s="1" t="n">
        <v>44903</v>
      </c>
      <c r="C349" s="1" t="n">
        <v>45294</v>
      </c>
      <c r="D349" t="inlineStr">
        <is>
          <t>VÄSTRA GÖTALANDS LÄN</t>
        </is>
      </c>
      <c r="E349" t="inlineStr">
        <is>
          <t>MUNKEDAL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59132-2022</t>
        </is>
      </c>
      <c r="B350" s="1" t="n">
        <v>44904</v>
      </c>
      <c r="C350" s="1" t="n">
        <v>45294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62098-2022</t>
        </is>
      </c>
      <c r="B351" s="1" t="n">
        <v>44920</v>
      </c>
      <c r="C351" s="1" t="n">
        <v>45294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62100-2022</t>
        </is>
      </c>
      <c r="B352" s="1" t="n">
        <v>44920</v>
      </c>
      <c r="C352" s="1" t="n">
        <v>45294</v>
      </c>
      <c r="D352" t="inlineStr">
        <is>
          <t>VÄSTRA GÖTALANDS LÄN</t>
        </is>
      </c>
      <c r="E352" t="inlineStr">
        <is>
          <t>MUNKEDAL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62099-2022</t>
        </is>
      </c>
      <c r="B353" s="1" t="n">
        <v>44920</v>
      </c>
      <c r="C353" s="1" t="n">
        <v>45294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62101-2022</t>
        </is>
      </c>
      <c r="B354" s="1" t="n">
        <v>44920</v>
      </c>
      <c r="C354" s="1" t="n">
        <v>45294</v>
      </c>
      <c r="D354" t="inlineStr">
        <is>
          <t>VÄSTRA GÖTALANDS LÄN</t>
        </is>
      </c>
      <c r="E354" t="inlineStr">
        <is>
          <t>MUNKEDAL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421-2023</t>
        </is>
      </c>
      <c r="B355" s="1" t="n">
        <v>44929</v>
      </c>
      <c r="C355" s="1" t="n">
        <v>45294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868-2023</t>
        </is>
      </c>
      <c r="B356" s="1" t="n">
        <v>44931</v>
      </c>
      <c r="C356" s="1" t="n">
        <v>45294</v>
      </c>
      <c r="D356" t="inlineStr">
        <is>
          <t>VÄSTRA GÖTALANDS LÄN</t>
        </is>
      </c>
      <c r="E356" t="inlineStr">
        <is>
          <t>MUNKEDAL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1526-2023</t>
        </is>
      </c>
      <c r="B357" s="1" t="n">
        <v>44935</v>
      </c>
      <c r="C357" s="1" t="n">
        <v>45294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1340-2023</t>
        </is>
      </c>
      <c r="B358" s="1" t="n">
        <v>44936</v>
      </c>
      <c r="C358" s="1" t="n">
        <v>45294</v>
      </c>
      <c r="D358" t="inlineStr">
        <is>
          <t>VÄSTRA GÖTALANDS LÄN</t>
        </is>
      </c>
      <c r="E358" t="inlineStr">
        <is>
          <t>MUNKEDAL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1559-2023</t>
        </is>
      </c>
      <c r="B359" s="1" t="n">
        <v>44937</v>
      </c>
      <c r="C359" s="1" t="n">
        <v>45294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1938-2023</t>
        </is>
      </c>
      <c r="B360" s="1" t="n">
        <v>44938</v>
      </c>
      <c r="C360" s="1" t="n">
        <v>45294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3288-2023</t>
        </is>
      </c>
      <c r="B361" s="1" t="n">
        <v>44945</v>
      </c>
      <c r="C361" s="1" t="n">
        <v>45294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3611-2023</t>
        </is>
      </c>
      <c r="B362" s="1" t="n">
        <v>44946</v>
      </c>
      <c r="C362" s="1" t="n">
        <v>45294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5866-2023</t>
        </is>
      </c>
      <c r="B363" s="1" t="n">
        <v>44958</v>
      </c>
      <c r="C363" s="1" t="n">
        <v>45294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5600-2023</t>
        </is>
      </c>
      <c r="B364" s="1" t="n">
        <v>44960</v>
      </c>
      <c r="C364" s="1" t="n">
        <v>45294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6197-2023</t>
        </is>
      </c>
      <c r="B365" s="1" t="n">
        <v>44964</v>
      </c>
      <c r="C365" s="1" t="n">
        <v>45294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8750-2023</t>
        </is>
      </c>
      <c r="B366" s="1" t="n">
        <v>44972</v>
      </c>
      <c r="C366" s="1" t="n">
        <v>45294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9959-2023</t>
        </is>
      </c>
      <c r="B367" s="1" t="n">
        <v>44978</v>
      </c>
      <c r="C367" s="1" t="n">
        <v>45294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9954-2023</t>
        </is>
      </c>
      <c r="B368" s="1" t="n">
        <v>44978</v>
      </c>
      <c r="C368" s="1" t="n">
        <v>45294</v>
      </c>
      <c r="D368" t="inlineStr">
        <is>
          <t>VÄSTRA GÖTALANDS LÄN</t>
        </is>
      </c>
      <c r="E368" t="inlineStr">
        <is>
          <t>MUNKEDAL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9944-2023</t>
        </is>
      </c>
      <c r="B369" s="1" t="n">
        <v>44978</v>
      </c>
      <c r="C369" s="1" t="n">
        <v>45294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9307-2023</t>
        </is>
      </c>
      <c r="B370" s="1" t="n">
        <v>44980</v>
      </c>
      <c r="C370" s="1" t="n">
        <v>45294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9743-2023</t>
        </is>
      </c>
      <c r="B371" s="1" t="n">
        <v>44984</v>
      </c>
      <c r="C371" s="1" t="n">
        <v>45294</v>
      </c>
      <c r="D371" t="inlineStr">
        <is>
          <t>VÄSTRA GÖTALANDS LÄN</t>
        </is>
      </c>
      <c r="E371" t="inlineStr">
        <is>
          <t>MUNKEDAL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9748-2023</t>
        </is>
      </c>
      <c r="B372" s="1" t="n">
        <v>44984</v>
      </c>
      <c r="C372" s="1" t="n">
        <v>45294</v>
      </c>
      <c r="D372" t="inlineStr">
        <is>
          <t>VÄSTRA GÖTALANDS LÄN</t>
        </is>
      </c>
      <c r="E372" t="inlineStr">
        <is>
          <t>MUNKEDAL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9746-2023</t>
        </is>
      </c>
      <c r="B373" s="1" t="n">
        <v>44984</v>
      </c>
      <c r="C373" s="1" t="n">
        <v>45294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9739-2023</t>
        </is>
      </c>
      <c r="B374" s="1" t="n">
        <v>44984</v>
      </c>
      <c r="C374" s="1" t="n">
        <v>45294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11525-2023</t>
        </is>
      </c>
      <c r="B375" s="1" t="n">
        <v>44993</v>
      </c>
      <c r="C375" s="1" t="n">
        <v>45294</v>
      </c>
      <c r="D375" t="inlineStr">
        <is>
          <t>VÄSTRA GÖTALANDS LÄN</t>
        </is>
      </c>
      <c r="E375" t="inlineStr">
        <is>
          <t>MUNKEDAL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11526-2023</t>
        </is>
      </c>
      <c r="B376" s="1" t="n">
        <v>44993</v>
      </c>
      <c r="C376" s="1" t="n">
        <v>45294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13162-2023</t>
        </is>
      </c>
      <c r="B377" s="1" t="n">
        <v>45002</v>
      </c>
      <c r="C377" s="1" t="n">
        <v>45294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13126-2023</t>
        </is>
      </c>
      <c r="B378" s="1" t="n">
        <v>45002</v>
      </c>
      <c r="C378" s="1" t="n">
        <v>45294</v>
      </c>
      <c r="D378" t="inlineStr">
        <is>
          <t>VÄSTRA GÖTALANDS LÄN</t>
        </is>
      </c>
      <c r="E378" t="inlineStr">
        <is>
          <t>MUNKEDAL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13223-2023</t>
        </is>
      </c>
      <c r="B379" s="1" t="n">
        <v>45002</v>
      </c>
      <c r="C379" s="1" t="n">
        <v>45294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13303-2023</t>
        </is>
      </c>
      <c r="B380" s="1" t="n">
        <v>45005</v>
      </c>
      <c r="C380" s="1" t="n">
        <v>45294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15726-2023</t>
        </is>
      </c>
      <c r="B381" s="1" t="n">
        <v>45021</v>
      </c>
      <c r="C381" s="1" t="n">
        <v>45294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15848-2023</t>
        </is>
      </c>
      <c r="B382" s="1" t="n">
        <v>45022</v>
      </c>
      <c r="C382" s="1" t="n">
        <v>45294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15853-2023</t>
        </is>
      </c>
      <c r="B383" s="1" t="n">
        <v>45022</v>
      </c>
      <c r="C383" s="1" t="n">
        <v>45294</v>
      </c>
      <c r="D383" t="inlineStr">
        <is>
          <t>VÄSTRA GÖTALANDS LÄN</t>
        </is>
      </c>
      <c r="E383" t="inlineStr">
        <is>
          <t>MUNKEDAL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16291-2023</t>
        </is>
      </c>
      <c r="B384" s="1" t="n">
        <v>45028</v>
      </c>
      <c r="C384" s="1" t="n">
        <v>45294</v>
      </c>
      <c r="D384" t="inlineStr">
        <is>
          <t>VÄSTRA GÖTALANDS LÄN</t>
        </is>
      </c>
      <c r="E384" t="inlineStr">
        <is>
          <t>MUNKEDAL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16420-2023</t>
        </is>
      </c>
      <c r="B385" s="1" t="n">
        <v>45029</v>
      </c>
      <c r="C385" s="1" t="n">
        <v>45294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16417-2023</t>
        </is>
      </c>
      <c r="B386" s="1" t="n">
        <v>45029</v>
      </c>
      <c r="C386" s="1" t="n">
        <v>45294</v>
      </c>
      <c r="D386" t="inlineStr">
        <is>
          <t>VÄSTRA GÖTALANDS LÄN</t>
        </is>
      </c>
      <c r="E386" t="inlineStr">
        <is>
          <t>MUNKEDAL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17141-2023</t>
        </is>
      </c>
      <c r="B387" s="1" t="n">
        <v>45034</v>
      </c>
      <c r="C387" s="1" t="n">
        <v>45294</v>
      </c>
      <c r="D387" t="inlineStr">
        <is>
          <t>VÄSTRA GÖTALANDS LÄN</t>
        </is>
      </c>
      <c r="E387" t="inlineStr">
        <is>
          <t>MUNKEDAL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18211-2023</t>
        </is>
      </c>
      <c r="B388" s="1" t="n">
        <v>45041</v>
      </c>
      <c r="C388" s="1" t="n">
        <v>45294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18426-2023</t>
        </is>
      </c>
      <c r="B389" s="1" t="n">
        <v>45041</v>
      </c>
      <c r="C389" s="1" t="n">
        <v>45294</v>
      </c>
      <c r="D389" t="inlineStr">
        <is>
          <t>VÄSTRA GÖTALANDS LÄN</t>
        </is>
      </c>
      <c r="E389" t="inlineStr">
        <is>
          <t>MUNKEDAL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19163-2023</t>
        </is>
      </c>
      <c r="B390" s="1" t="n">
        <v>45044</v>
      </c>
      <c r="C390" s="1" t="n">
        <v>45294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19039-2023</t>
        </is>
      </c>
      <c r="B391" s="1" t="n">
        <v>45047</v>
      </c>
      <c r="C391" s="1" t="n">
        <v>45294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19361-2023</t>
        </is>
      </c>
      <c r="B392" s="1" t="n">
        <v>45049</v>
      </c>
      <c r="C392" s="1" t="n">
        <v>45294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19399-2023</t>
        </is>
      </c>
      <c r="B393" s="1" t="n">
        <v>45049</v>
      </c>
      <c r="C393" s="1" t="n">
        <v>45294</v>
      </c>
      <c r="D393" t="inlineStr">
        <is>
          <t>VÄSTRA GÖTALANDS LÄN</t>
        </is>
      </c>
      <c r="E393" t="inlineStr">
        <is>
          <t>MUNKEDAL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20045-2023</t>
        </is>
      </c>
      <c r="B394" s="1" t="n">
        <v>45051</v>
      </c>
      <c r="C394" s="1" t="n">
        <v>45294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20220-2023</t>
        </is>
      </c>
      <c r="B395" s="1" t="n">
        <v>45055</v>
      </c>
      <c r="C395" s="1" t="n">
        <v>45294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20958-2023</t>
        </is>
      </c>
      <c r="B396" s="1" t="n">
        <v>45061</v>
      </c>
      <c r="C396" s="1" t="n">
        <v>45294</v>
      </c>
      <c r="D396" t="inlineStr">
        <is>
          <t>VÄSTRA GÖTALANDS LÄN</t>
        </is>
      </c>
      <c r="E396" t="inlineStr">
        <is>
          <t>MUNKEDAL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21540-2023</t>
        </is>
      </c>
      <c r="B397" s="1" t="n">
        <v>45061</v>
      </c>
      <c r="C397" s="1" t="n">
        <v>45294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21625-2023</t>
        </is>
      </c>
      <c r="B398" s="1" t="n">
        <v>45063</v>
      </c>
      <c r="C398" s="1" t="n">
        <v>45294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22452-2023</t>
        </is>
      </c>
      <c r="B399" s="1" t="n">
        <v>45070</v>
      </c>
      <c r="C399" s="1" t="n">
        <v>45294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22537-2023</t>
        </is>
      </c>
      <c r="B400" s="1" t="n">
        <v>45071</v>
      </c>
      <c r="C400" s="1" t="n">
        <v>45294</v>
      </c>
      <c r="D400" t="inlineStr">
        <is>
          <t>VÄSTRA GÖTALANDS LÄN</t>
        </is>
      </c>
      <c r="E400" t="inlineStr">
        <is>
          <t>MUNKEDAL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22518-2023</t>
        </is>
      </c>
      <c r="B401" s="1" t="n">
        <v>45071</v>
      </c>
      <c r="C401" s="1" t="n">
        <v>45294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Naturvårdsverket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22534-2023</t>
        </is>
      </c>
      <c r="B402" s="1" t="n">
        <v>45071</v>
      </c>
      <c r="C402" s="1" t="n">
        <v>45294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23605-2023</t>
        </is>
      </c>
      <c r="B403" s="1" t="n">
        <v>45072</v>
      </c>
      <c r="C403" s="1" t="n">
        <v>45294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Kommuner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23598-2023</t>
        </is>
      </c>
      <c r="B404" s="1" t="n">
        <v>45072</v>
      </c>
      <c r="C404" s="1" t="n">
        <v>45294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23610-2023</t>
        </is>
      </c>
      <c r="B405" s="1" t="n">
        <v>45072</v>
      </c>
      <c r="C405" s="1" t="n">
        <v>45294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23188-2023</t>
        </is>
      </c>
      <c r="B406" s="1" t="n">
        <v>45075</v>
      </c>
      <c r="C406" s="1" t="n">
        <v>45294</v>
      </c>
      <c r="D406" t="inlineStr">
        <is>
          <t>VÄSTRA GÖTALANDS LÄN</t>
        </is>
      </c>
      <c r="E406" t="inlineStr">
        <is>
          <t>MUNKEDAL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23397-2023</t>
        </is>
      </c>
      <c r="B407" s="1" t="n">
        <v>45076</v>
      </c>
      <c r="C407" s="1" t="n">
        <v>45294</v>
      </c>
      <c r="D407" t="inlineStr">
        <is>
          <t>VÄSTRA GÖTALANDS LÄN</t>
        </is>
      </c>
      <c r="E407" t="inlineStr">
        <is>
          <t>MUNKEDAL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24150-2023</t>
        </is>
      </c>
      <c r="B408" s="1" t="n">
        <v>45076</v>
      </c>
      <c r="C408" s="1" t="n">
        <v>45294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24185-2023</t>
        </is>
      </c>
      <c r="B409" s="1" t="n">
        <v>45076</v>
      </c>
      <c r="C409" s="1" t="n">
        <v>45294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24809-2023</t>
        </is>
      </c>
      <c r="B410" s="1" t="n">
        <v>45084</v>
      </c>
      <c r="C410" s="1" t="n">
        <v>45294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24812-2023</t>
        </is>
      </c>
      <c r="B411" s="1" t="n">
        <v>45084</v>
      </c>
      <c r="C411" s="1" t="n">
        <v>45294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45294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27644-2023</t>
        </is>
      </c>
      <c r="B413" s="1" t="n">
        <v>45097</v>
      </c>
      <c r="C413" s="1" t="n">
        <v>45294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27890-2023</t>
        </is>
      </c>
      <c r="B414" s="1" t="n">
        <v>45098</v>
      </c>
      <c r="C414" s="1" t="n">
        <v>45294</v>
      </c>
      <c r="D414" t="inlineStr">
        <is>
          <t>VÄSTRA GÖTALANDS LÄN</t>
        </is>
      </c>
      <c r="E414" t="inlineStr">
        <is>
          <t>MUNKEDAL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29415-2023</t>
        </is>
      </c>
      <c r="B415" s="1" t="n">
        <v>45106</v>
      </c>
      <c r="C415" s="1" t="n">
        <v>45294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29603-2023</t>
        </is>
      </c>
      <c r="B416" s="1" t="n">
        <v>45107</v>
      </c>
      <c r="C416" s="1" t="n">
        <v>45294</v>
      </c>
      <c r="D416" t="inlineStr">
        <is>
          <t>VÄSTRA GÖTALANDS LÄN</t>
        </is>
      </c>
      <c r="E416" t="inlineStr">
        <is>
          <t>MUNKEDAL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30456-2023</t>
        </is>
      </c>
      <c r="B417" s="1" t="n">
        <v>45111</v>
      </c>
      <c r="C417" s="1" t="n">
        <v>45294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Naturvårdsverket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30434-2023</t>
        </is>
      </c>
      <c r="B418" s="1" t="n">
        <v>45111</v>
      </c>
      <c r="C418" s="1" t="n">
        <v>45294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Naturvårdsverket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30555-2023</t>
        </is>
      </c>
      <c r="B419" s="1" t="n">
        <v>45111</v>
      </c>
      <c r="C419" s="1" t="n">
        <v>45294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30417-2023</t>
        </is>
      </c>
      <c r="B420" s="1" t="n">
        <v>45111</v>
      </c>
      <c r="C420" s="1" t="n">
        <v>45294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30427-2023</t>
        </is>
      </c>
      <c r="B421" s="1" t="n">
        <v>45111</v>
      </c>
      <c r="C421" s="1" t="n">
        <v>45294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Naturvårdsverket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30447-2023</t>
        </is>
      </c>
      <c r="B422" s="1" t="n">
        <v>45111</v>
      </c>
      <c r="C422" s="1" t="n">
        <v>45294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30554-2023</t>
        </is>
      </c>
      <c r="B423" s="1" t="n">
        <v>45111</v>
      </c>
      <c r="C423" s="1" t="n">
        <v>45294</v>
      </c>
      <c r="D423" t="inlineStr">
        <is>
          <t>VÄSTRA GÖTALANDS LÄN</t>
        </is>
      </c>
      <c r="E423" t="inlineStr">
        <is>
          <t>MUNKEDAL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32300-2023</t>
        </is>
      </c>
      <c r="B424" s="1" t="n">
        <v>45120</v>
      </c>
      <c r="C424" s="1" t="n">
        <v>45294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33192-2023</t>
        </is>
      </c>
      <c r="B425" s="1" t="n">
        <v>45127</v>
      </c>
      <c r="C425" s="1" t="n">
        <v>45294</v>
      </c>
      <c r="D425" t="inlineStr">
        <is>
          <t>VÄSTRA GÖTALANDS LÄN</t>
        </is>
      </c>
      <c r="E425" t="inlineStr">
        <is>
          <t>MUNKEDAL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33196-2023</t>
        </is>
      </c>
      <c r="B426" s="1" t="n">
        <v>45127</v>
      </c>
      <c r="C426" s="1" t="n">
        <v>45294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33181-2023</t>
        </is>
      </c>
      <c r="B427" s="1" t="n">
        <v>45127</v>
      </c>
      <c r="C427" s="1" t="n">
        <v>45294</v>
      </c>
      <c r="D427" t="inlineStr">
        <is>
          <t>VÄSTRA GÖTALANDS LÄN</t>
        </is>
      </c>
      <c r="E427" t="inlineStr">
        <is>
          <t>MUNKEDAL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33194-2023</t>
        </is>
      </c>
      <c r="B428" s="1" t="n">
        <v>45127</v>
      </c>
      <c r="C428" s="1" t="n">
        <v>45294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33195-2023</t>
        </is>
      </c>
      <c r="B429" s="1" t="n">
        <v>45127</v>
      </c>
      <c r="C429" s="1" t="n">
        <v>45294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33212-2023</t>
        </is>
      </c>
      <c r="B430" s="1" t="n">
        <v>45127</v>
      </c>
      <c r="C430" s="1" t="n">
        <v>45294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</v>
      </c>
      <c r="C431" s="1" t="n">
        <v>45294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34219-2023</t>
        </is>
      </c>
      <c r="B432" s="1" t="n">
        <v>45138</v>
      </c>
      <c r="C432" s="1" t="n">
        <v>45294</v>
      </c>
      <c r="D432" t="inlineStr">
        <is>
          <t>VÄSTRA GÖTALANDS LÄN</t>
        </is>
      </c>
      <c r="E432" t="inlineStr">
        <is>
          <t>MUNKEDAL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35137-2023</t>
        </is>
      </c>
      <c r="B433" s="1" t="n">
        <v>45145</v>
      </c>
      <c r="C433" s="1" t="n">
        <v>45294</v>
      </c>
      <c r="D433" t="inlineStr">
        <is>
          <t>VÄSTRA GÖTALANDS LÄN</t>
        </is>
      </c>
      <c r="E433" t="inlineStr">
        <is>
          <t>MUNKEDAL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35139-2023</t>
        </is>
      </c>
      <c r="B434" s="1" t="n">
        <v>45145</v>
      </c>
      <c r="C434" s="1" t="n">
        <v>45294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35645-2023</t>
        </is>
      </c>
      <c r="B435" s="1" t="n">
        <v>45147</v>
      </c>
      <c r="C435" s="1" t="n">
        <v>45294</v>
      </c>
      <c r="D435" t="inlineStr">
        <is>
          <t>VÄSTRA GÖTALANDS LÄN</t>
        </is>
      </c>
      <c r="E435" t="inlineStr">
        <is>
          <t>MUNKEDAL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35647-2023</t>
        </is>
      </c>
      <c r="B436" s="1" t="n">
        <v>45147</v>
      </c>
      <c r="C436" s="1" t="n">
        <v>45294</v>
      </c>
      <c r="D436" t="inlineStr">
        <is>
          <t>VÄSTRA GÖTALANDS LÄN</t>
        </is>
      </c>
      <c r="E436" t="inlineStr">
        <is>
          <t>MUNKEDAL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35814-2023</t>
        </is>
      </c>
      <c r="B437" s="1" t="n">
        <v>45148</v>
      </c>
      <c r="C437" s="1" t="n">
        <v>45294</v>
      </c>
      <c r="D437" t="inlineStr">
        <is>
          <t>VÄSTRA GÖTALANDS LÄN</t>
        </is>
      </c>
      <c r="E437" t="inlineStr">
        <is>
          <t>MUNKEDAL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36173-2023</t>
        </is>
      </c>
      <c r="B438" s="1" t="n">
        <v>45149</v>
      </c>
      <c r="C438" s="1" t="n">
        <v>45294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36912-2023</t>
        </is>
      </c>
      <c r="B439" s="1" t="n">
        <v>45153</v>
      </c>
      <c r="C439" s="1" t="n">
        <v>45294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36906-2023</t>
        </is>
      </c>
      <c r="B440" s="1" t="n">
        <v>45153</v>
      </c>
      <c r="C440" s="1" t="n">
        <v>45294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36891-2023</t>
        </is>
      </c>
      <c r="B441" s="1" t="n">
        <v>45154</v>
      </c>
      <c r="C441" s="1" t="n">
        <v>45294</v>
      </c>
      <c r="D441" t="inlineStr">
        <is>
          <t>VÄSTRA GÖTALANDS LÄN</t>
        </is>
      </c>
      <c r="E441" t="inlineStr">
        <is>
          <t>MUNKEDAL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37071-2023</t>
        </is>
      </c>
      <c r="B442" s="1" t="n">
        <v>45155</v>
      </c>
      <c r="C442" s="1" t="n">
        <v>45294</v>
      </c>
      <c r="D442" t="inlineStr">
        <is>
          <t>VÄSTRA GÖTALANDS LÄN</t>
        </is>
      </c>
      <c r="E442" t="inlineStr">
        <is>
          <t>MUNKEDAL</t>
        </is>
      </c>
      <c r="G442" t="n">
        <v>15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37419-2023</t>
        </is>
      </c>
      <c r="B443" s="1" t="n">
        <v>45155</v>
      </c>
      <c r="C443" s="1" t="n">
        <v>45294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37414-2023</t>
        </is>
      </c>
      <c r="B444" s="1" t="n">
        <v>45155</v>
      </c>
      <c r="C444" s="1" t="n">
        <v>45294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38071-2023</t>
        </is>
      </c>
      <c r="B445" s="1" t="n">
        <v>45159</v>
      </c>
      <c r="C445" s="1" t="n">
        <v>45294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37941-2023</t>
        </is>
      </c>
      <c r="B446" s="1" t="n">
        <v>45160</v>
      </c>
      <c r="C446" s="1" t="n">
        <v>45294</v>
      </c>
      <c r="D446" t="inlineStr">
        <is>
          <t>VÄSTRA GÖTALANDS LÄN</t>
        </is>
      </c>
      <c r="E446" t="inlineStr">
        <is>
          <t>MUNKEDAL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39163-2023</t>
        </is>
      </c>
      <c r="B447" s="1" t="n">
        <v>45166</v>
      </c>
      <c r="C447" s="1" t="n">
        <v>45294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40617-2023</t>
        </is>
      </c>
      <c r="B448" s="1" t="n">
        <v>45170</v>
      </c>
      <c r="C448" s="1" t="n">
        <v>45294</v>
      </c>
      <c r="D448" t="inlineStr">
        <is>
          <t>VÄSTRA GÖTALANDS LÄN</t>
        </is>
      </c>
      <c r="E448" t="inlineStr">
        <is>
          <t>MUNKEDAL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42005-2023</t>
        </is>
      </c>
      <c r="B449" s="1" t="n">
        <v>45174</v>
      </c>
      <c r="C449" s="1" t="n">
        <v>45294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Kyrkan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41521-2023</t>
        </is>
      </c>
      <c r="B450" s="1" t="n">
        <v>45175</v>
      </c>
      <c r="C450" s="1" t="n">
        <v>45294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43876-2023</t>
        </is>
      </c>
      <c r="B451" s="1" t="n">
        <v>45187</v>
      </c>
      <c r="C451" s="1" t="n">
        <v>45294</v>
      </c>
      <c r="D451" t="inlineStr">
        <is>
          <t>VÄSTRA GÖTALANDS LÄN</t>
        </is>
      </c>
      <c r="E451" t="inlineStr">
        <is>
          <t>MUNKEDAL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45464-2023</t>
        </is>
      </c>
      <c r="B452" s="1" t="n">
        <v>45188</v>
      </c>
      <c r="C452" s="1" t="n">
        <v>45294</v>
      </c>
      <c r="D452" t="inlineStr">
        <is>
          <t>VÄSTRA GÖTALANDS LÄN</t>
        </is>
      </c>
      <c r="E452" t="inlineStr">
        <is>
          <t>MUNKEDAL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45472-2023</t>
        </is>
      </c>
      <c r="B453" s="1" t="n">
        <v>45188</v>
      </c>
      <c r="C453" s="1" t="n">
        <v>45294</v>
      </c>
      <c r="D453" t="inlineStr">
        <is>
          <t>VÄSTRA GÖTALANDS LÄN</t>
        </is>
      </c>
      <c r="E453" t="inlineStr">
        <is>
          <t>MUNKEDAL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45469-2023</t>
        </is>
      </c>
      <c r="B454" s="1" t="n">
        <v>45188</v>
      </c>
      <c r="C454" s="1" t="n">
        <v>45294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44478-2023</t>
        </is>
      </c>
      <c r="B455" s="1" t="n">
        <v>45189</v>
      </c>
      <c r="C455" s="1" t="n">
        <v>45294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44482-2023</t>
        </is>
      </c>
      <c r="B456" s="1" t="n">
        <v>45189</v>
      </c>
      <c r="C456" s="1" t="n">
        <v>45294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45638-2023</t>
        </is>
      </c>
      <c r="B457" s="1" t="n">
        <v>45194</v>
      </c>
      <c r="C457" s="1" t="n">
        <v>45294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45632-2023</t>
        </is>
      </c>
      <c r="B458" s="1" t="n">
        <v>45194</v>
      </c>
      <c r="C458" s="1" t="n">
        <v>45294</v>
      </c>
      <c r="D458" t="inlineStr">
        <is>
          <t>VÄSTRA GÖTALANDS LÄN</t>
        </is>
      </c>
      <c r="E458" t="inlineStr">
        <is>
          <t>MUNKEDAL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45637-2023</t>
        </is>
      </c>
      <c r="B459" s="1" t="n">
        <v>45194</v>
      </c>
      <c r="C459" s="1" t="n">
        <v>45294</v>
      </c>
      <c r="D459" t="inlineStr">
        <is>
          <t>VÄSTRA GÖTALANDS LÄN</t>
        </is>
      </c>
      <c r="E459" t="inlineStr">
        <is>
          <t>MUNKEDAL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47675-2023</t>
        </is>
      </c>
      <c r="B460" s="1" t="n">
        <v>45203</v>
      </c>
      <c r="C460" s="1" t="n">
        <v>45294</v>
      </c>
      <c r="D460" t="inlineStr">
        <is>
          <t>VÄSTRA GÖTALANDS LÄN</t>
        </is>
      </c>
      <c r="E460" t="inlineStr">
        <is>
          <t>MUNKEDAL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48031-2023</t>
        </is>
      </c>
      <c r="B461" s="1" t="n">
        <v>45204</v>
      </c>
      <c r="C461" s="1" t="n">
        <v>45294</v>
      </c>
      <c r="D461" t="inlineStr">
        <is>
          <t>VÄSTRA GÖTALANDS LÄN</t>
        </is>
      </c>
      <c r="E461" t="inlineStr">
        <is>
          <t>MUNKEDAL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48831-2023</t>
        </is>
      </c>
      <c r="B462" s="1" t="n">
        <v>45209</v>
      </c>
      <c r="C462" s="1" t="n">
        <v>45294</v>
      </c>
      <c r="D462" t="inlineStr">
        <is>
          <t>VÄSTRA GÖTALANDS LÄN</t>
        </is>
      </c>
      <c r="E462" t="inlineStr">
        <is>
          <t>MUNKEDAL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48833-2023</t>
        </is>
      </c>
      <c r="B463" s="1" t="n">
        <v>45209</v>
      </c>
      <c r="C463" s="1" t="n">
        <v>45294</v>
      </c>
      <c r="D463" t="inlineStr">
        <is>
          <t>VÄSTRA GÖTALANDS LÄN</t>
        </is>
      </c>
      <c r="E463" t="inlineStr">
        <is>
          <t>MUNKEDAL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48838-2023</t>
        </is>
      </c>
      <c r="B464" s="1" t="n">
        <v>45209</v>
      </c>
      <c r="C464" s="1" t="n">
        <v>45294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49912-2023</t>
        </is>
      </c>
      <c r="B465" s="1" t="n">
        <v>45214</v>
      </c>
      <c r="C465" s="1" t="n">
        <v>45294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50034-2023</t>
        </is>
      </c>
      <c r="B466" s="1" t="n">
        <v>45215</v>
      </c>
      <c r="C466" s="1" t="n">
        <v>45294</v>
      </c>
      <c r="D466" t="inlineStr">
        <is>
          <t>VÄSTRA GÖTALANDS LÄN</t>
        </is>
      </c>
      <c r="E466" t="inlineStr">
        <is>
          <t>MUNKEDAL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50038-2023</t>
        </is>
      </c>
      <c r="B467" s="1" t="n">
        <v>45215</v>
      </c>
      <c r="C467" s="1" t="n">
        <v>45294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50414-2023</t>
        </is>
      </c>
      <c r="B468" s="1" t="n">
        <v>45216</v>
      </c>
      <c r="C468" s="1" t="n">
        <v>45294</v>
      </c>
      <c r="D468" t="inlineStr">
        <is>
          <t>VÄSTRA GÖTALANDS LÄN</t>
        </is>
      </c>
      <c r="E468" t="inlineStr">
        <is>
          <t>MUNKEDAL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50917-2023</t>
        </is>
      </c>
      <c r="B469" s="1" t="n">
        <v>45218</v>
      </c>
      <c r="C469" s="1" t="n">
        <v>45294</v>
      </c>
      <c r="D469" t="inlineStr">
        <is>
          <t>VÄSTRA GÖTALANDS LÄN</t>
        </is>
      </c>
      <c r="E469" t="inlineStr">
        <is>
          <t>MUNKEDAL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52510-2023</t>
        </is>
      </c>
      <c r="B470" s="1" t="n">
        <v>45218</v>
      </c>
      <c r="C470" s="1" t="n">
        <v>45294</v>
      </c>
      <c r="D470" t="inlineStr">
        <is>
          <t>VÄSTRA GÖTALANDS LÄN</t>
        </is>
      </c>
      <c r="E470" t="inlineStr">
        <is>
          <t>MUNKEDAL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52054-2023</t>
        </is>
      </c>
      <c r="B471" s="1" t="n">
        <v>45223</v>
      </c>
      <c r="C471" s="1" t="n">
        <v>45294</v>
      </c>
      <c r="D471" t="inlineStr">
        <is>
          <t>VÄSTRA GÖTALANDS LÄN</t>
        </is>
      </c>
      <c r="E471" t="inlineStr">
        <is>
          <t>MUNKEDAL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52152-2023</t>
        </is>
      </c>
      <c r="B472" s="1" t="n">
        <v>45224</v>
      </c>
      <c r="C472" s="1" t="n">
        <v>45294</v>
      </c>
      <c r="D472" t="inlineStr">
        <is>
          <t>VÄSTRA GÖTALANDS LÄN</t>
        </is>
      </c>
      <c r="E472" t="inlineStr">
        <is>
          <t>MUNKEDAL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52151-2023</t>
        </is>
      </c>
      <c r="B473" s="1" t="n">
        <v>45224</v>
      </c>
      <c r="C473" s="1" t="n">
        <v>45294</v>
      </c>
      <c r="D473" t="inlineStr">
        <is>
          <t>VÄSTRA GÖTALANDS LÄN</t>
        </is>
      </c>
      <c r="E473" t="inlineStr">
        <is>
          <t>MUNKEDAL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52153-2023</t>
        </is>
      </c>
      <c r="B474" s="1" t="n">
        <v>45224</v>
      </c>
      <c r="C474" s="1" t="n">
        <v>45294</v>
      </c>
      <c r="D474" t="inlineStr">
        <is>
          <t>VÄSTRA GÖTALANDS LÄN</t>
        </is>
      </c>
      <c r="E474" t="inlineStr">
        <is>
          <t>MUNKEDAL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53412-2023</t>
        </is>
      </c>
      <c r="B475" s="1" t="n">
        <v>45229</v>
      </c>
      <c r="C475" s="1" t="n">
        <v>45294</v>
      </c>
      <c r="D475" t="inlineStr">
        <is>
          <t>VÄSTRA GÖTALANDS LÄN</t>
        </is>
      </c>
      <c r="E475" t="inlineStr">
        <is>
          <t>MUNKEDAL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53424-2023</t>
        </is>
      </c>
      <c r="B476" s="1" t="n">
        <v>45229</v>
      </c>
      <c r="C476" s="1" t="n">
        <v>45294</v>
      </c>
      <c r="D476" t="inlineStr">
        <is>
          <t>VÄSTRA GÖTALANDS LÄN</t>
        </is>
      </c>
      <c r="E476" t="inlineStr">
        <is>
          <t>MUNKEDAL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53410-2023</t>
        </is>
      </c>
      <c r="B477" s="1" t="n">
        <v>45229</v>
      </c>
      <c r="C477" s="1" t="n">
        <v>45294</v>
      </c>
      <c r="D477" t="inlineStr">
        <is>
          <t>VÄSTRA GÖTALANDS LÄN</t>
        </is>
      </c>
      <c r="E477" t="inlineStr">
        <is>
          <t>MUNKEDAL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53409-2023</t>
        </is>
      </c>
      <c r="B478" s="1" t="n">
        <v>45229</v>
      </c>
      <c r="C478" s="1" t="n">
        <v>45294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53425-2023</t>
        </is>
      </c>
      <c r="B479" s="1" t="n">
        <v>45229</v>
      </c>
      <c r="C479" s="1" t="n">
        <v>45294</v>
      </c>
      <c r="D479" t="inlineStr">
        <is>
          <t>VÄSTRA GÖTALANDS LÄN</t>
        </is>
      </c>
      <c r="E479" t="inlineStr">
        <is>
          <t>MUNKEDAL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54930-2023</t>
        </is>
      </c>
      <c r="B480" s="1" t="n">
        <v>45229</v>
      </c>
      <c r="C480" s="1" t="n">
        <v>45294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54935-2023</t>
        </is>
      </c>
      <c r="B481" s="1" t="n">
        <v>45229</v>
      </c>
      <c r="C481" s="1" t="n">
        <v>45294</v>
      </c>
      <c r="D481" t="inlineStr">
        <is>
          <t>VÄSTRA GÖTALANDS LÄN</t>
        </is>
      </c>
      <c r="E481" t="inlineStr">
        <is>
          <t>MUNKEDAL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53565-2023</t>
        </is>
      </c>
      <c r="B482" s="1" t="n">
        <v>45230</v>
      </c>
      <c r="C482" s="1" t="n">
        <v>45294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53891-2023</t>
        </is>
      </c>
      <c r="B483" s="1" t="n">
        <v>45231</v>
      </c>
      <c r="C483" s="1" t="n">
        <v>45294</v>
      </c>
      <c r="D483" t="inlineStr">
        <is>
          <t>VÄSTRA GÖTALANDS LÄN</t>
        </is>
      </c>
      <c r="E483" t="inlineStr">
        <is>
          <t>MUNKEDAL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54001-2023</t>
        </is>
      </c>
      <c r="B484" s="1" t="n">
        <v>45231</v>
      </c>
      <c r="C484" s="1" t="n">
        <v>45294</v>
      </c>
      <c r="D484" t="inlineStr">
        <is>
          <t>VÄSTRA GÖTALANDS LÄN</t>
        </is>
      </c>
      <c r="E484" t="inlineStr">
        <is>
          <t>MUNKEDAL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53888-2023</t>
        </is>
      </c>
      <c r="B485" s="1" t="n">
        <v>45231</v>
      </c>
      <c r="C485" s="1" t="n">
        <v>45294</v>
      </c>
      <c r="D485" t="inlineStr">
        <is>
          <t>VÄSTRA GÖTALANDS LÄN</t>
        </is>
      </c>
      <c r="E485" t="inlineStr">
        <is>
          <t>MUNKEDAL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55498-2023</t>
        </is>
      </c>
      <c r="B486" s="1" t="n">
        <v>45232</v>
      </c>
      <c r="C486" s="1" t="n">
        <v>45294</v>
      </c>
      <c r="D486" t="inlineStr">
        <is>
          <t>VÄSTRA GÖTALANDS LÄN</t>
        </is>
      </c>
      <c r="E486" t="inlineStr">
        <is>
          <t>MUNKEDAL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54518-2023</t>
        </is>
      </c>
      <c r="B487" s="1" t="n">
        <v>45233</v>
      </c>
      <c r="C487" s="1" t="n">
        <v>45294</v>
      </c>
      <c r="D487" t="inlineStr">
        <is>
          <t>VÄSTRA GÖTALANDS LÄN</t>
        </is>
      </c>
      <c r="E487" t="inlineStr">
        <is>
          <t>MUNKEDAL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55301-2023</t>
        </is>
      </c>
      <c r="B488" s="1" t="n">
        <v>45237</v>
      </c>
      <c r="C488" s="1" t="n">
        <v>45294</v>
      </c>
      <c r="D488" t="inlineStr">
        <is>
          <t>VÄSTRA GÖTALANDS LÄN</t>
        </is>
      </c>
      <c r="E488" t="inlineStr">
        <is>
          <t>MUNKEDAL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56766-2023</t>
        </is>
      </c>
      <c r="B489" s="1" t="n">
        <v>45244</v>
      </c>
      <c r="C489" s="1" t="n">
        <v>45294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56744-2023</t>
        </is>
      </c>
      <c r="B490" s="1" t="n">
        <v>45244</v>
      </c>
      <c r="C490" s="1" t="n">
        <v>45294</v>
      </c>
      <c r="D490" t="inlineStr">
        <is>
          <t>VÄSTRA GÖTALANDS LÄN</t>
        </is>
      </c>
      <c r="E490" t="inlineStr">
        <is>
          <t>MUNKEDAL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56892-2023</t>
        </is>
      </c>
      <c r="B491" s="1" t="n">
        <v>45244</v>
      </c>
      <c r="C491" s="1" t="n">
        <v>45294</v>
      </c>
      <c r="D491" t="inlineStr">
        <is>
          <t>VÄSTRA GÖTALANDS LÄN</t>
        </is>
      </c>
      <c r="E491" t="inlineStr">
        <is>
          <t>MUNKEDAL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57606-2023</t>
        </is>
      </c>
      <c r="B492" s="1" t="n">
        <v>45246</v>
      </c>
      <c r="C492" s="1" t="n">
        <v>45294</v>
      </c>
      <c r="D492" t="inlineStr">
        <is>
          <t>VÄSTRA GÖTALANDS LÄN</t>
        </is>
      </c>
      <c r="E492" t="inlineStr">
        <is>
          <t>MUNKEDAL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58487-2023</t>
        </is>
      </c>
      <c r="B493" s="1" t="n">
        <v>45251</v>
      </c>
      <c r="C493" s="1" t="n">
        <v>45294</v>
      </c>
      <c r="D493" t="inlineStr">
        <is>
          <t>VÄSTRA GÖTALANDS LÄN</t>
        </is>
      </c>
      <c r="E493" t="inlineStr">
        <is>
          <t>MUNKEDAL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58617-2023</t>
        </is>
      </c>
      <c r="B494" s="1" t="n">
        <v>45251</v>
      </c>
      <c r="C494" s="1" t="n">
        <v>45294</v>
      </c>
      <c r="D494" t="inlineStr">
        <is>
          <t>VÄSTRA GÖTALANDS LÄN</t>
        </is>
      </c>
      <c r="E494" t="inlineStr">
        <is>
          <t>MUNKEDAL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58583-2023</t>
        </is>
      </c>
      <c r="B495" s="1" t="n">
        <v>45251</v>
      </c>
      <c r="C495" s="1" t="n">
        <v>45294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59502-2023</t>
        </is>
      </c>
      <c r="B496" s="1" t="n">
        <v>45254</v>
      </c>
      <c r="C496" s="1" t="n">
        <v>45294</v>
      </c>
      <c r="D496" t="inlineStr">
        <is>
          <t>VÄSTRA GÖTALANDS LÄN</t>
        </is>
      </c>
      <c r="E496" t="inlineStr">
        <is>
          <t>MUNKEDAL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60497-2023</t>
        </is>
      </c>
      <c r="B497" s="1" t="n">
        <v>45259</v>
      </c>
      <c r="C497" s="1" t="n">
        <v>45294</v>
      </c>
      <c r="D497" t="inlineStr">
        <is>
          <t>VÄSTRA GÖTALANDS LÄN</t>
        </is>
      </c>
      <c r="E497" t="inlineStr">
        <is>
          <t>MUNKEDAL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60662-2023</t>
        </is>
      </c>
      <c r="B498" s="1" t="n">
        <v>45260</v>
      </c>
      <c r="C498" s="1" t="n">
        <v>45294</v>
      </c>
      <c r="D498" t="inlineStr">
        <is>
          <t>VÄSTRA GÖTALANDS LÄN</t>
        </is>
      </c>
      <c r="E498" t="inlineStr">
        <is>
          <t>MUNKEDAL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61695-2023</t>
        </is>
      </c>
      <c r="B499" s="1" t="n">
        <v>45261</v>
      </c>
      <c r="C499" s="1" t="n">
        <v>45294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61584-2023</t>
        </is>
      </c>
      <c r="B500" s="1" t="n">
        <v>45261</v>
      </c>
      <c r="C500" s="1" t="n">
        <v>45294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61621-2023</t>
        </is>
      </c>
      <c r="B501" s="1" t="n">
        <v>45261</v>
      </c>
      <c r="C501" s="1" t="n">
        <v>45294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61377-2023</t>
        </is>
      </c>
      <c r="B502" s="1" t="n">
        <v>45264</v>
      </c>
      <c r="C502" s="1" t="n">
        <v>45294</v>
      </c>
      <c r="D502" t="inlineStr">
        <is>
          <t>VÄSTRA GÖTALANDS LÄN</t>
        </is>
      </c>
      <c r="E502" t="inlineStr">
        <is>
          <t>MUNKEDAL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61885-2023</t>
        </is>
      </c>
      <c r="B503" s="1" t="n">
        <v>45264</v>
      </c>
      <c r="C503" s="1" t="n">
        <v>45294</v>
      </c>
      <c r="D503" t="inlineStr">
        <is>
          <t>VÄSTRA GÖTALANDS LÄN</t>
        </is>
      </c>
      <c r="E503" t="inlineStr">
        <is>
          <t>MUNKEDAL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61374-2023</t>
        </is>
      </c>
      <c r="B504" s="1" t="n">
        <v>45264</v>
      </c>
      <c r="C504" s="1" t="n">
        <v>45294</v>
      </c>
      <c r="D504" t="inlineStr">
        <is>
          <t>VÄSTRA GÖTALANDS LÄN</t>
        </is>
      </c>
      <c r="E504" t="inlineStr">
        <is>
          <t>MUNKEDAL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61768-2023</t>
        </is>
      </c>
      <c r="B505" s="1" t="n">
        <v>45265</v>
      </c>
      <c r="C505" s="1" t="n">
        <v>45294</v>
      </c>
      <c r="D505" t="inlineStr">
        <is>
          <t>VÄSTRA GÖTALANDS LÄN</t>
        </is>
      </c>
      <c r="E505" t="inlineStr">
        <is>
          <t>MUNKEDAL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61821-2023</t>
        </is>
      </c>
      <c r="B506" s="1" t="n">
        <v>45266</v>
      </c>
      <c r="C506" s="1" t="n">
        <v>45294</v>
      </c>
      <c r="D506" t="inlineStr">
        <is>
          <t>VÄSTRA GÖTALANDS LÄN</t>
        </is>
      </c>
      <c r="E506" t="inlineStr">
        <is>
          <t>MUNKEDAL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62090-2023</t>
        </is>
      </c>
      <c r="B507" s="1" t="n">
        <v>45266</v>
      </c>
      <c r="C507" s="1" t="n">
        <v>45294</v>
      </c>
      <c r="D507" t="inlineStr">
        <is>
          <t>VÄSTRA GÖTALANDS LÄN</t>
        </is>
      </c>
      <c r="E507" t="inlineStr">
        <is>
          <t>MUNKEDAL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62331-2023</t>
        </is>
      </c>
      <c r="B508" s="1" t="n">
        <v>45267</v>
      </c>
      <c r="C508" s="1" t="n">
        <v>45294</v>
      </c>
      <c r="D508" t="inlineStr">
        <is>
          <t>VÄSTRA GÖTALANDS LÄN</t>
        </is>
      </c>
      <c r="E508" t="inlineStr">
        <is>
          <t>MUNKEDAL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62463-2023</t>
        </is>
      </c>
      <c r="B509" s="1" t="n">
        <v>45268</v>
      </c>
      <c r="C509" s="1" t="n">
        <v>45294</v>
      </c>
      <c r="D509" t="inlineStr">
        <is>
          <t>VÄSTRA GÖTALANDS LÄN</t>
        </is>
      </c>
      <c r="E509" t="inlineStr">
        <is>
          <t>MUNKEDAL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62706-2023</t>
        </is>
      </c>
      <c r="B510" s="1" t="n">
        <v>45271</v>
      </c>
      <c r="C510" s="1" t="n">
        <v>45294</v>
      </c>
      <c r="D510" t="inlineStr">
        <is>
          <t>VÄSTRA GÖTALANDS LÄN</t>
        </is>
      </c>
      <c r="E510" t="inlineStr">
        <is>
          <t>MUNKEDAL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63093-2023</t>
        </is>
      </c>
      <c r="B511" s="1" t="n">
        <v>45272</v>
      </c>
      <c r="C511" s="1" t="n">
        <v>45294</v>
      </c>
      <c r="D511" t="inlineStr">
        <is>
          <t>VÄSTRA GÖTALANDS LÄN</t>
        </is>
      </c>
      <c r="E511" t="inlineStr">
        <is>
          <t>MUNKEDAL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63251-2023</t>
        </is>
      </c>
      <c r="B512" s="1" t="n">
        <v>45273</v>
      </c>
      <c r="C512" s="1" t="n">
        <v>45294</v>
      </c>
      <c r="D512" t="inlineStr">
        <is>
          <t>VÄSTRA GÖTALANDS LÄN</t>
        </is>
      </c>
      <c r="E512" t="inlineStr">
        <is>
          <t>MUNKEDAL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63512-2023</t>
        </is>
      </c>
      <c r="B513" s="1" t="n">
        <v>45274</v>
      </c>
      <c r="C513" s="1" t="n">
        <v>45294</v>
      </c>
      <c r="D513" t="inlineStr">
        <is>
          <t>VÄSTRA GÖTALANDS LÄN</t>
        </is>
      </c>
      <c r="E513" t="inlineStr">
        <is>
          <t>MUNKEDAL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64879-2023</t>
        </is>
      </c>
      <c r="B514" s="1" t="n">
        <v>45282</v>
      </c>
      <c r="C514" s="1" t="n">
        <v>45294</v>
      </c>
      <c r="D514" t="inlineStr">
        <is>
          <t>VÄSTRA GÖTALANDS LÄN</t>
        </is>
      </c>
      <c r="E514" t="inlineStr">
        <is>
          <t>MUNKEDAL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64881-2023</t>
        </is>
      </c>
      <c r="B515" s="1" t="n">
        <v>45282</v>
      </c>
      <c r="C515" s="1" t="n">
        <v>45294</v>
      </c>
      <c r="D515" t="inlineStr">
        <is>
          <t>VÄSTRA GÖTALANDS LÄN</t>
        </is>
      </c>
      <c r="E515" t="inlineStr">
        <is>
          <t>MUNKEDAL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2024-01-03T10:01:50Z</dcterms:created>
  <dcterms:modified xmlns:dcterms="http://purl.org/dc/terms/" xmlns:xsi="http://www.w3.org/2001/XMLSchema-instance" xsi:type="dcterms:W3CDTF">2024-01-03T10:01:50Z</dcterms:modified>
</cp:coreProperties>
</file>