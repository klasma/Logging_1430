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33012-2024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45517</v>
      </c>
      <c r="E2" s="1" t="n">
        <v>46319</v>
      </c>
      <c r="F2" t="inlineStr">
        <is>
          <t>VÄSTRA GÖTALANDS LÄN</t>
        </is>
      </c>
      <c r="G2" t="inlineStr">
        <is>
          <t>MUNKEDAL</t>
        </is>
      </c>
      <c r="I2" t="n">
        <v>22.4</v>
      </c>
      <c r="J2" t="n">
        <v>5</v>
      </c>
      <c r="K2" t="n">
        <v>4</v>
      </c>
      <c r="L2" t="n">
        <v>10</v>
      </c>
      <c r="M2" t="n">
        <v>0</v>
      </c>
      <c r="N2" t="n">
        <v>1</v>
      </c>
      <c r="O2" t="n">
        <v>0</v>
      </c>
      <c r="P2" t="n">
        <v>0</v>
      </c>
      <c r="Q2" t="n">
        <v>11</v>
      </c>
      <c r="R2" t="n">
        <v>1</v>
      </c>
      <c r="S2" t="n">
        <v>17</v>
      </c>
      <c r="T2" t="n">
        <v>48</v>
      </c>
      <c r="U2" t="n">
        <v>48</v>
      </c>
      <c r="V2" s="2" t="inlineStr">
        <is>
          <t>Urskogsporing
Gäckporing
Hornvaxskinn
Kungsörn
Motaggsvamp
Nordtagging
Skarp dropptaggsvamp
Tallticka
Talltita
Tretåig hackspett
Vedskivlav
Blåmossa
Granriska
Platt fjädermossa
Zontaggsvamp
Spillkråka
Tjäder</t>
        </is>
      </c>
      <c r="W2">
        <f>HYPERLINK("https://klasma.github.io/Logging_1430/artfynd/A 33012-2024 artfynd.xlsx", "A 33012-2024")</f>
        <v/>
      </c>
      <c r="X2">
        <f>HYPERLINK("https://klasma.github.io/Logging_1430/kartor/A 33012-2024 karta.png", "A 33012-2024")</f>
        <v/>
      </c>
      <c r="Y2">
        <f>HYPERLINK("https://klasma.github.io/Logging_1430/kartor_geotiff/A 33012-2024 georefererad karta.tif", "A 33012-2024")</f>
        <v/>
      </c>
      <c r="Z2">
        <f>HYPERLINK("https://klasma.github.io/Logging_1430/knärot/A 33012-2024 karta knärot.png", "A 33012-2024")</f>
        <v/>
      </c>
      <c r="AA2">
        <f>HYPERLINK("https://klasma.github.io/Logging_1430/klagomål/A 33012-2024 FSC-klagomål.docx", "A 33012-2024")</f>
        <v/>
      </c>
      <c r="AB2">
        <f>HYPERLINK("https://klasma.github.io/Logging_1430/klagomålsmail/A 33012-2024 FSC-klagomål mail.docx", "A 33012-2024")</f>
        <v/>
      </c>
      <c r="AC2">
        <f>HYPERLINK("https://klasma.github.io/Logging_1430/tillsyn/A 33012-2024 tillsynsbegäran.docx", "A 33012-2024")</f>
        <v/>
      </c>
      <c r="AD2">
        <f>HYPERLINK("https://klasma.github.io/Logging_1430/tillsynsmail/A 33012-2024 tillsynsbegäran mail.docx", "A 33012-2024")</f>
        <v/>
      </c>
      <c r="AE2">
        <f>HYPERLINK("https://klasma.github.io/Logging_1430/fåglar/A 33012-2024 prioriterade fågelarter.docx", "A 33012-2024")</f>
        <v/>
      </c>
    </row>
    <row r="3" ht="15" customHeight="1">
      <c r="A3" t="inlineStr">
        <is>
          <t>A 56336-2024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45624</v>
      </c>
      <c r="E3" s="1" t="n">
        <v>46319</v>
      </c>
      <c r="F3" t="inlineStr">
        <is>
          <t>VÄSTRA GÖTALANDS LÄN</t>
        </is>
      </c>
      <c r="G3" t="inlineStr">
        <is>
          <t>MUNKEDAL</t>
        </is>
      </c>
      <c r="I3" t="n">
        <v>11.8</v>
      </c>
      <c r="J3" t="n">
        <v>1</v>
      </c>
      <c r="K3" t="n">
        <v>5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8</v>
      </c>
      <c r="T3" t="n">
        <v>21</v>
      </c>
      <c r="U3" t="n">
        <v>21</v>
      </c>
      <c r="V3" s="2" t="inlineStr">
        <is>
          <t>Dropptaggsvamp
Kattfotslav
Havstulpanlav
Kornknutmossa
Rävticka
Stor aspticka
Vågbandad barkbock
Spillkråka</t>
        </is>
      </c>
      <c r="W3">
        <f>HYPERLINK("https://klasma.github.io/Logging_1430/artfynd/A 56336-2024 artfynd.xlsx", "A 56336-2024")</f>
        <v/>
      </c>
      <c r="X3">
        <f>HYPERLINK("https://klasma.github.io/Logging_1430/kartor/A 56336-2024 karta.png", "A 56336-2024")</f>
        <v/>
      </c>
      <c r="Y3">
        <f>HYPERLINK("https://klasma.github.io/Logging_1430/kartor_geotiff/A 56336-2024 georefererad karta.tif", "A 56336-2024")</f>
        <v/>
      </c>
      <c r="AA3">
        <f>HYPERLINK("https://klasma.github.io/Logging_1430/klagomål/A 56336-2024 FSC-klagomål.docx", "A 56336-2024")</f>
        <v/>
      </c>
      <c r="AB3">
        <f>HYPERLINK("https://klasma.github.io/Logging_1430/klagomålsmail/A 56336-2024 FSC-klagomål mail.docx", "A 56336-2024")</f>
        <v/>
      </c>
      <c r="AC3">
        <f>HYPERLINK("https://klasma.github.io/Logging_1430/tillsyn/A 56336-2024 tillsynsbegäran.docx", "A 56336-2024")</f>
        <v/>
      </c>
      <c r="AD3">
        <f>HYPERLINK("https://klasma.github.io/Logging_1430/tillsynsmail/A 56336-2024 tillsynsbegäran mail.docx", "A 56336-2024")</f>
        <v/>
      </c>
      <c r="AE3">
        <f>HYPERLINK("https://klasma.github.io/Logging_1430/fåglar/A 56336-2024 prioriterade fågelarter.docx", "A 56336-2024")</f>
        <v/>
      </c>
    </row>
    <row r="4" ht="15" customHeight="1">
      <c r="A4" t="inlineStr">
        <is>
          <t>A 2975-2022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44581</v>
      </c>
      <c r="E4" s="1" t="n">
        <v>46319</v>
      </c>
      <c r="F4" t="inlineStr">
        <is>
          <t>VÄSTRA GÖTALANDS LÄN</t>
        </is>
      </c>
      <c r="G4" t="inlineStr">
        <is>
          <t>MUNKEDAL</t>
        </is>
      </c>
      <c r="I4" t="n">
        <v>7.5</v>
      </c>
      <c r="J4" t="n">
        <v>3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8</v>
      </c>
      <c r="U4" t="n">
        <v>8</v>
      </c>
      <c r="V4" s="2" t="inlineStr">
        <is>
          <t>Blåmossa
Mindre märgborre
Trädporella
Mattlummer
Spillkråka
Revlummer</t>
        </is>
      </c>
      <c r="W4">
        <f>HYPERLINK("https://klasma.github.io/Logging_1430/artfynd/A 2975-2022 artfynd.xlsx", "A 2975-2022")</f>
        <v/>
      </c>
      <c r="X4">
        <f>HYPERLINK("https://klasma.github.io/Logging_1430/kartor/A 2975-2022 karta.png", "A 2975-2022")</f>
        <v/>
      </c>
      <c r="Y4">
        <f>HYPERLINK("https://klasma.github.io/Logging_1430/kartor_geotiff/A 2975-2022 georefererad karta.tif", "A 2975-2022")</f>
        <v/>
      </c>
      <c r="AA4">
        <f>HYPERLINK("https://klasma.github.io/Logging_1430/klagomål/A 2975-2022 FSC-klagomål.docx", "A 2975-2022")</f>
        <v/>
      </c>
      <c r="AB4">
        <f>HYPERLINK("https://klasma.github.io/Logging_1430/klagomålsmail/A 2975-2022 FSC-klagomål mail.docx", "A 2975-2022")</f>
        <v/>
      </c>
      <c r="AC4">
        <f>HYPERLINK("https://klasma.github.io/Logging_1430/tillsyn/A 2975-2022 tillsynsbegäran.docx", "A 2975-2022")</f>
        <v/>
      </c>
      <c r="AD4">
        <f>HYPERLINK("https://klasma.github.io/Logging_1430/tillsynsmail/A 2975-2022 tillsynsbegäran mail.docx", "A 2975-2022")</f>
        <v/>
      </c>
      <c r="AE4">
        <f>HYPERLINK("https://klasma.github.io/Logging_1430/fåglar/A 2975-2022 prioriterade fågelarter.docx", "A 2975-2022")</f>
        <v/>
      </c>
    </row>
    <row r="5" ht="15" customHeight="1">
      <c r="A5" t="inlineStr">
        <is>
          <t>A 14261-2026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46099</v>
      </c>
      <c r="E5" s="1" t="n">
        <v>46319</v>
      </c>
      <c r="F5" t="inlineStr">
        <is>
          <t>VÄSTRA GÖTALANDS LÄN</t>
        </is>
      </c>
      <c r="G5" t="inlineStr">
        <is>
          <t>MUNKEDAL</t>
        </is>
      </c>
      <c r="I5" t="n">
        <v>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5</v>
      </c>
      <c r="U5" t="n">
        <v>0</v>
      </c>
      <c r="V5" s="2" t="inlineStr">
        <is>
          <t>Spillkråka
Tjäder
Revlummer</t>
        </is>
      </c>
      <c r="W5">
        <f>HYPERLINK("https://klasma.github.io/Logging_1430/artfynd/A 14261-2026 artfynd.xlsx", "A 14261-2026")</f>
        <v/>
      </c>
      <c r="X5">
        <f>HYPERLINK("https://klasma.github.io/Logging_1430/kartor/A 14261-2026 karta.png", "A 14261-2026")</f>
        <v/>
      </c>
      <c r="Y5">
        <f>HYPERLINK("https://klasma.github.io/Logging_1430/kartor_geotiff/A 14261-2026 georefererad karta.tif", "A 14261-2026")</f>
        <v/>
      </c>
      <c r="AA5">
        <f>HYPERLINK("https://klasma.github.io/Logging_1430/klagomål/A 14261-2026 FSC-klagomål.docx", "A 14261-2026")</f>
        <v/>
      </c>
      <c r="AB5">
        <f>HYPERLINK("https://klasma.github.io/Logging_1430/klagomålsmail/A 14261-2026 FSC-klagomål mail.docx", "A 14261-2026")</f>
        <v/>
      </c>
      <c r="AC5">
        <f>HYPERLINK("https://klasma.github.io/Logging_1430/tillsyn/A 14261-2026 tillsynsbegäran.docx", "A 14261-2026")</f>
        <v/>
      </c>
      <c r="AD5">
        <f>HYPERLINK("https://klasma.github.io/Logging_1430/tillsynsmail/A 14261-2026 tillsynsbegäran mail.docx", "A 14261-2026")</f>
        <v/>
      </c>
      <c r="AE5">
        <f>HYPERLINK("https://klasma.github.io/Logging_1430/fåglar/A 14261-2026 prioriterade fågelarter.docx", "A 14261-2026")</f>
        <v/>
      </c>
    </row>
    <row r="6" ht="15" customHeight="1">
      <c r="A6" t="inlineStr">
        <is>
          <t>A 56578-2025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45974</v>
      </c>
      <c r="E6" s="1" t="n">
        <v>46319</v>
      </c>
      <c r="F6" t="inlineStr">
        <is>
          <t>VÄSTRA GÖTALANDS LÄN</t>
        </is>
      </c>
      <c r="G6" t="inlineStr">
        <is>
          <t>MUNKEDAL</t>
        </is>
      </c>
      <c r="H6" t="inlineStr">
        <is>
          <t>Övriga Aktiebolag</t>
        </is>
      </c>
      <c r="I6" t="n">
        <v>18.6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2</v>
      </c>
      <c r="T6" t="n">
        <v>2</v>
      </c>
      <c r="U6" t="n">
        <v>0</v>
      </c>
      <c r="V6" s="2" t="inlineStr">
        <is>
          <t>Svinrot
Fläcknycklar</t>
        </is>
      </c>
      <c r="W6">
        <f>HYPERLINK("https://klasma.github.io/Logging_1430/artfynd/A 56578-2025 artfynd.xlsx", "A 56578-2025")</f>
        <v/>
      </c>
      <c r="X6">
        <f>HYPERLINK("https://klasma.github.io/Logging_1430/kartor/A 56578-2025 karta.png", "A 56578-2025")</f>
        <v/>
      </c>
      <c r="Y6">
        <f>HYPERLINK("https://klasma.github.io/Logging_1430/kartor_geotiff/A 56578-2025 georefererad karta.tif", "A 56578-2025")</f>
        <v/>
      </c>
      <c r="AA6">
        <f>HYPERLINK("https://klasma.github.io/Logging_1430/klagomål/A 56578-2025 FSC-klagomål.docx", "A 56578-2025")</f>
        <v/>
      </c>
      <c r="AB6">
        <f>HYPERLINK("https://klasma.github.io/Logging_1430/klagomålsmail/A 56578-2025 FSC-klagomål mail.docx", "A 56578-2025")</f>
        <v/>
      </c>
      <c r="AC6">
        <f>HYPERLINK("https://klasma.github.io/Logging_1430/tillsyn/A 56578-2025 tillsynsbegäran.docx", "A 56578-2025")</f>
        <v/>
      </c>
      <c r="AD6">
        <f>HYPERLINK("https://klasma.github.io/Logging_1430/tillsynsmail/A 56578-2025 tillsynsbegäran mail.docx", "A 56578-2025")</f>
        <v/>
      </c>
    </row>
    <row r="7" ht="15" customHeight="1">
      <c r="A7" t="inlineStr">
        <is>
          <t>A 2539-2024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45313</v>
      </c>
      <c r="E7" s="1" t="n">
        <v>46319</v>
      </c>
      <c r="F7" t="inlineStr">
        <is>
          <t>VÄSTRA GÖTALANDS LÄN</t>
        </is>
      </c>
      <c r="G7" t="inlineStr">
        <is>
          <t>MUNKEDAL</t>
        </is>
      </c>
      <c r="I7" t="n">
        <v>4.7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s="2" t="inlineStr">
        <is>
          <t>Havsörn
Gullviva</t>
        </is>
      </c>
      <c r="W7">
        <f>HYPERLINK("https://klasma.github.io/Logging_1430/artfynd/A 2539-2024 artfynd.xlsx", "A 2539-2024")</f>
        <v/>
      </c>
      <c r="X7">
        <f>HYPERLINK("https://klasma.github.io/Logging_1430/kartor/A 2539-2024 karta.png", "A 2539-2024")</f>
        <v/>
      </c>
      <c r="Y7">
        <f>HYPERLINK("https://klasma.github.io/Logging_1430/kartor_geotiff/A 2539-2024 georefererad karta.tif", "A 2539-2024")</f>
        <v/>
      </c>
      <c r="AA7">
        <f>HYPERLINK("https://klasma.github.io/Logging_1430/klagomål/A 2539-2024 FSC-klagomål.docx", "A 2539-2024")</f>
        <v/>
      </c>
      <c r="AB7">
        <f>HYPERLINK("https://klasma.github.io/Logging_1430/klagomålsmail/A 2539-2024 FSC-klagomål mail.docx", "A 2539-2024")</f>
        <v/>
      </c>
      <c r="AC7">
        <f>HYPERLINK("https://klasma.github.io/Logging_1430/tillsyn/A 2539-2024 tillsynsbegäran.docx", "A 2539-2024")</f>
        <v/>
      </c>
      <c r="AD7">
        <f>HYPERLINK("https://klasma.github.io/Logging_1430/tillsynsmail/A 2539-2024 tillsynsbegäran mail.docx", "A 2539-2024")</f>
        <v/>
      </c>
      <c r="AE7">
        <f>HYPERLINK("https://klasma.github.io/Logging_1430/fåglar/A 2539-2024 prioriterade fågelarter.docx", "A 2539-2024")</f>
        <v/>
      </c>
    </row>
    <row r="8" ht="15" customHeight="1">
      <c r="A8" t="inlineStr">
        <is>
          <t>A 25957-2025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45804</v>
      </c>
      <c r="E8" s="1" t="n">
        <v>46319</v>
      </c>
      <c r="F8" t="inlineStr">
        <is>
          <t>VÄSTRA GÖTALANDS LÄN</t>
        </is>
      </c>
      <c r="G8" t="inlineStr">
        <is>
          <t>MUNKEDAL</t>
        </is>
      </c>
      <c r="I8" t="n">
        <v>10.9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2</v>
      </c>
      <c r="U8" t="n">
        <v>0</v>
      </c>
      <c r="V8" s="2" t="inlineStr">
        <is>
          <t>Svart trolldruva
Blåsippa</t>
        </is>
      </c>
      <c r="W8">
        <f>HYPERLINK("https://klasma.github.io/Logging_1430/artfynd/A 25957-2025 artfynd.xlsx", "A 25957-2025")</f>
        <v/>
      </c>
      <c r="X8">
        <f>HYPERLINK("https://klasma.github.io/Logging_1430/kartor/A 25957-2025 karta.png", "A 25957-2025")</f>
        <v/>
      </c>
      <c r="Y8">
        <f>HYPERLINK("https://klasma.github.io/Logging_1430/kartor_geotiff/A 25957-2025 georefererad karta.tif", "A 25957-2025")</f>
        <v/>
      </c>
      <c r="AA8">
        <f>HYPERLINK("https://klasma.github.io/Logging_1430/klagomål/A 25957-2025 FSC-klagomål.docx", "A 25957-2025")</f>
        <v/>
      </c>
      <c r="AB8">
        <f>HYPERLINK("https://klasma.github.io/Logging_1430/klagomålsmail/A 25957-2025 FSC-klagomål mail.docx", "A 25957-2025")</f>
        <v/>
      </c>
      <c r="AC8">
        <f>HYPERLINK("https://klasma.github.io/Logging_1430/tillsyn/A 25957-2025 tillsynsbegäran.docx", "A 25957-2025")</f>
        <v/>
      </c>
      <c r="AD8">
        <f>HYPERLINK("https://klasma.github.io/Logging_1430/tillsynsmail/A 25957-2025 tillsynsbegäran mail.docx", "A 25957-2025")</f>
        <v/>
      </c>
    </row>
    <row r="9" ht="15" customHeight="1">
      <c r="A9" t="inlineStr">
        <is>
          <t>A 2531-2024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45313</v>
      </c>
      <c r="E9" s="1" t="n">
        <v>46319</v>
      </c>
      <c r="F9" t="inlineStr">
        <is>
          <t>VÄSTRA GÖTALANDS LÄN</t>
        </is>
      </c>
      <c r="G9" t="inlineStr">
        <is>
          <t>MUNKEDAL</t>
        </is>
      </c>
      <c r="I9" t="n">
        <v>2.2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Svart trolldruva
Blåsippa</t>
        </is>
      </c>
      <c r="W9">
        <f>HYPERLINK("https://klasma.github.io/Logging_1430/artfynd/A 2531-2024 artfynd.xlsx", "A 2531-2024")</f>
        <v/>
      </c>
      <c r="X9">
        <f>HYPERLINK("https://klasma.github.io/Logging_1430/kartor/A 2531-2024 karta.png", "A 2531-2024")</f>
        <v/>
      </c>
      <c r="Y9">
        <f>HYPERLINK("https://klasma.github.io/Logging_1430/kartor_geotiff/A 2531-2024 georefererad karta.tif", "A 2531-2024")</f>
        <v/>
      </c>
      <c r="AA9">
        <f>HYPERLINK("https://klasma.github.io/Logging_1430/klagomål/A 2531-2024 FSC-klagomål.docx", "A 2531-2024")</f>
        <v/>
      </c>
      <c r="AB9">
        <f>HYPERLINK("https://klasma.github.io/Logging_1430/klagomålsmail/A 2531-2024 FSC-klagomål mail.docx", "A 2531-2024")</f>
        <v/>
      </c>
      <c r="AC9">
        <f>HYPERLINK("https://klasma.github.io/Logging_1430/tillsyn/A 2531-2024 tillsynsbegäran.docx", "A 2531-2024")</f>
        <v/>
      </c>
      <c r="AD9">
        <f>HYPERLINK("https://klasma.github.io/Logging_1430/tillsynsmail/A 2531-2024 tillsynsbegäran mail.docx", "A 2531-2024")</f>
        <v/>
      </c>
    </row>
    <row r="10" ht="15" customHeight="1">
      <c r="A10" t="inlineStr">
        <is>
          <t>A 2562-2025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45674</v>
      </c>
      <c r="E10" s="1" t="n">
        <v>46319</v>
      </c>
      <c r="F10" t="inlineStr">
        <is>
          <t>VÄSTRA GÖTALANDS LÄN</t>
        </is>
      </c>
      <c r="G10" t="inlineStr">
        <is>
          <t>MUNKEDAL</t>
        </is>
      </c>
      <c r="I10" t="n">
        <v>1.3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2</v>
      </c>
      <c r="T10" t="n">
        <v>7</v>
      </c>
      <c r="U10" t="n">
        <v>2</v>
      </c>
      <c r="V10" s="2" t="inlineStr">
        <is>
          <t>Slåttergubbe
Svinrot</t>
        </is>
      </c>
      <c r="W10">
        <f>HYPERLINK("https://klasma.github.io/Logging_1430/artfynd/A 2562-2025 artfynd.xlsx", "A 2562-2025")</f>
        <v/>
      </c>
      <c r="X10">
        <f>HYPERLINK("https://klasma.github.io/Logging_1430/kartor/A 2562-2025 karta.png", "A 2562-2025")</f>
        <v/>
      </c>
      <c r="Y10">
        <f>HYPERLINK("https://klasma.github.io/Logging_1430/kartor_geotiff/A 2562-2025 georefererad karta.tif", "A 2562-2025")</f>
        <v/>
      </c>
      <c r="AA10">
        <f>HYPERLINK("https://klasma.github.io/Logging_1430/klagomål/A 2562-2025 FSC-klagomål.docx", "A 2562-2025")</f>
        <v/>
      </c>
      <c r="AB10">
        <f>HYPERLINK("https://klasma.github.io/Logging_1430/klagomålsmail/A 2562-2025 FSC-klagomål mail.docx", "A 2562-2025")</f>
        <v/>
      </c>
      <c r="AC10">
        <f>HYPERLINK("https://klasma.github.io/Logging_1430/tillsyn/A 2562-2025 tillsynsbegäran.docx", "A 2562-2025")</f>
        <v/>
      </c>
      <c r="AD10">
        <f>HYPERLINK("https://klasma.github.io/Logging_1430/tillsynsmail/A 2562-2025 tillsynsbegäran mail.docx", "A 2562-2025")</f>
        <v/>
      </c>
    </row>
    <row r="11" ht="15" customHeight="1">
      <c r="A11" t="inlineStr">
        <is>
          <t>A 16972-2022</t>
        </is>
      </c>
      <c r="B11" t="inlineStr">
        <is>
          <t>avverkningsanmälan</t>
        </is>
      </c>
      <c r="C11" t="inlineStr">
        <is>
          <t>Användning av främmande trädart</t>
        </is>
      </c>
      <c r="D11" s="1" t="n">
        <v>44676</v>
      </c>
      <c r="E11" s="1" t="n">
        <v>46319</v>
      </c>
      <c r="F11" t="inlineStr">
        <is>
          <t>VÄSTRA GÖTALANDS LÄN</t>
        </is>
      </c>
      <c r="G11" t="inlineStr">
        <is>
          <t>MUNKEDAL</t>
        </is>
      </c>
      <c r="I11" t="n">
        <v>10.6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2</v>
      </c>
      <c r="U11" t="n">
        <v>1</v>
      </c>
      <c r="V11" s="2" t="inlineStr">
        <is>
          <t>Dunmossa
Grön sköldmossa</t>
        </is>
      </c>
      <c r="W11">
        <f>HYPERLINK("https://klasma.github.io/Logging_1430/artfynd/A 16972-2022 artfynd.xlsx", "A 16972-2022")</f>
        <v/>
      </c>
      <c r="X11">
        <f>HYPERLINK("https://klasma.github.io/Logging_1430/kartor/A 16972-2022 karta.png", "A 16972-2022")</f>
        <v/>
      </c>
      <c r="Y11">
        <f>HYPERLINK("https://klasma.github.io/Logging_1430/kartor_geotiff/A 16972-2022 georefererad karta.tif", "A 16972-2022")</f>
        <v/>
      </c>
      <c r="AA11">
        <f>HYPERLINK("https://klasma.github.io/Logging_1430/klagomål/A 16972-2022 FSC-klagomål.docx", "A 16972-2022")</f>
        <v/>
      </c>
      <c r="AB11">
        <f>HYPERLINK("https://klasma.github.io/Logging_1430/klagomålsmail/A 16972-2022 FSC-klagomål mail.docx", "A 16972-2022")</f>
        <v/>
      </c>
      <c r="AC11">
        <f>HYPERLINK("https://klasma.github.io/Logging_1430/tillsyn/A 16972-2022 tillsynsbegäran.docx", "A 16972-2022")</f>
        <v/>
      </c>
      <c r="AD11">
        <f>HYPERLINK("https://klasma.github.io/Logging_1430/tillsynsmail/A 16972-2022 tillsynsbegäran mail.docx", "A 16972-2022")</f>
        <v/>
      </c>
    </row>
    <row r="12" ht="15" customHeight="1">
      <c r="A12" t="inlineStr">
        <is>
          <t>A 6545-2022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44601</v>
      </c>
      <c r="E12" s="1" t="n">
        <v>46319</v>
      </c>
      <c r="F12" t="inlineStr">
        <is>
          <t>VÄSTRA GÖTALANDS LÄN</t>
        </is>
      </c>
      <c r="G12" t="inlineStr">
        <is>
          <t>MUNKEDAL</t>
        </is>
      </c>
      <c r="I12" t="n">
        <v>4.1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Revlummer</t>
        </is>
      </c>
      <c r="W12">
        <f>HYPERLINK("https://klasma.github.io/Logging_1430/artfynd/A 6545-2022 artfynd.xlsx", "A 6545-2022")</f>
        <v/>
      </c>
      <c r="X12">
        <f>HYPERLINK("https://klasma.github.io/Logging_1430/kartor/A 6545-2022 karta.png", "A 6545-2022")</f>
        <v/>
      </c>
      <c r="Y12">
        <f>HYPERLINK("https://klasma.github.io/Logging_1430/kartor_geotiff/A 6545-2022 georefererad karta.tif", "A 6545-2022")</f>
        <v/>
      </c>
      <c r="AA12">
        <f>HYPERLINK("https://klasma.github.io/Logging_1430/klagomål/A 6545-2022 FSC-klagomål.docx", "A 6545-2022")</f>
        <v/>
      </c>
      <c r="AB12">
        <f>HYPERLINK("https://klasma.github.io/Logging_1430/klagomålsmail/A 6545-2022 FSC-klagomål mail.docx", "A 6545-2022")</f>
        <v/>
      </c>
      <c r="AC12">
        <f>HYPERLINK("https://klasma.github.io/Logging_1430/tillsyn/A 6545-2022 tillsynsbegäran.docx", "A 6545-2022")</f>
        <v/>
      </c>
      <c r="AD12">
        <f>HYPERLINK("https://klasma.github.io/Logging_1430/tillsynsmail/A 6545-2022 tillsynsbegäran mail.docx", "A 6545-2022")</f>
        <v/>
      </c>
    </row>
    <row r="13" ht="15" customHeight="1">
      <c r="A13" t="inlineStr">
        <is>
          <t>A 19188-2022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44691</v>
      </c>
      <c r="E13" s="1" t="n">
        <v>46319</v>
      </c>
      <c r="F13" t="inlineStr">
        <is>
          <t>VÄSTRA GÖTALANDS LÄN</t>
        </is>
      </c>
      <c r="G13" t="inlineStr">
        <is>
          <t>MUNKEDAL</t>
        </is>
      </c>
      <c r="I13" t="n">
        <v>0.6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Vanlig padda</t>
        </is>
      </c>
      <c r="W13">
        <f>HYPERLINK("https://klasma.github.io/Logging_1430/artfynd/A 19188-2022 artfynd.xlsx", "A 19188-2022")</f>
        <v/>
      </c>
      <c r="X13">
        <f>HYPERLINK("https://klasma.github.io/Logging_1430/kartor/A 19188-2022 karta.png", "A 19188-2022")</f>
        <v/>
      </c>
      <c r="Y13">
        <f>HYPERLINK("https://klasma.github.io/Logging_1430/kartor_geotiff/A 19188-2022 georefererad karta.tif", "A 19188-2022")</f>
        <v/>
      </c>
      <c r="AA13">
        <f>HYPERLINK("https://klasma.github.io/Logging_1430/klagomål/A 19188-2022 FSC-klagomål.docx", "A 19188-2022")</f>
        <v/>
      </c>
      <c r="AB13">
        <f>HYPERLINK("https://klasma.github.io/Logging_1430/klagomålsmail/A 19188-2022 FSC-klagomål mail.docx", "A 19188-2022")</f>
        <v/>
      </c>
      <c r="AC13">
        <f>HYPERLINK("https://klasma.github.io/Logging_1430/tillsyn/A 19188-2022 tillsynsbegäran.docx", "A 19188-2022")</f>
        <v/>
      </c>
      <c r="AD13">
        <f>HYPERLINK("https://klasma.github.io/Logging_1430/tillsynsmail/A 19188-2022 tillsynsbegäran mail.docx", "A 19188-2022")</f>
        <v/>
      </c>
    </row>
    <row r="14" ht="15" customHeight="1">
      <c r="A14" t="inlineStr">
        <is>
          <t>A 22963-2026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46160</v>
      </c>
      <c r="E14" s="1" t="n">
        <v>46319</v>
      </c>
      <c r="F14" t="inlineStr">
        <is>
          <t>VÄSTRA GÖTALANDS LÄN</t>
        </is>
      </c>
      <c r="G14" t="inlineStr">
        <is>
          <t>MUNKEDAL</t>
        </is>
      </c>
      <c r="I14" t="n">
        <v>2.9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Blåsippa</t>
        </is>
      </c>
      <c r="W14">
        <f>HYPERLINK("https://klasma.github.io/Logging_1430/artfynd/A 22963-2026 artfynd.xlsx", "A 22963-2026")</f>
        <v/>
      </c>
      <c r="X14">
        <f>HYPERLINK("https://klasma.github.io/Logging_1430/kartor/A 22963-2026 karta.png", "A 22963-2026")</f>
        <v/>
      </c>
      <c r="Y14">
        <f>HYPERLINK("https://klasma.github.io/Logging_1430/kartor_geotiff/A 22963-2026 georefererad karta.tif", "A 22963-2026")</f>
        <v/>
      </c>
      <c r="AA14">
        <f>HYPERLINK("https://klasma.github.io/Logging_1430/klagomål/A 22963-2026 FSC-klagomål.docx", "A 22963-2026")</f>
        <v/>
      </c>
      <c r="AB14">
        <f>HYPERLINK("https://klasma.github.io/Logging_1430/klagomålsmail/A 22963-2026 FSC-klagomål mail.docx", "A 22963-2026")</f>
        <v/>
      </c>
      <c r="AC14">
        <f>HYPERLINK("https://klasma.github.io/Logging_1430/tillsyn/A 22963-2026 tillsynsbegäran.docx", "A 22963-2026")</f>
        <v/>
      </c>
      <c r="AD14">
        <f>HYPERLINK("https://klasma.github.io/Logging_1430/tillsynsmail/A 22963-2026 tillsynsbegäran mail.docx", "A 22963-2026")</f>
        <v/>
      </c>
    </row>
    <row r="15" ht="15" customHeight="1">
      <c r="A15" t="inlineStr">
        <is>
          <t>A 23065-2026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46161</v>
      </c>
      <c r="E15" s="1" t="n">
        <v>46319</v>
      </c>
      <c r="F15" t="inlineStr">
        <is>
          <t>VÄSTRA GÖTALANDS LÄN</t>
        </is>
      </c>
      <c r="G15" t="inlineStr">
        <is>
          <t>MUNKEDAL</t>
        </is>
      </c>
      <c r="I15" t="n">
        <v>7.5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Blåsippa</t>
        </is>
      </c>
      <c r="W15">
        <f>HYPERLINK("https://klasma.github.io/Logging_1430/artfynd/A 23065-2026 artfynd.xlsx", "A 23065-2026")</f>
        <v/>
      </c>
      <c r="X15">
        <f>HYPERLINK("https://klasma.github.io/Logging_1430/kartor/A 23065-2026 karta.png", "A 23065-2026")</f>
        <v/>
      </c>
      <c r="Y15">
        <f>HYPERLINK("https://klasma.github.io/Logging_1430/kartor_geotiff/A 23065-2026 georefererad karta.tif", "A 23065-2026")</f>
        <v/>
      </c>
      <c r="AA15">
        <f>HYPERLINK("https://klasma.github.io/Logging_1430/klagomål/A 23065-2026 FSC-klagomål.docx", "A 23065-2026")</f>
        <v/>
      </c>
      <c r="AB15">
        <f>HYPERLINK("https://klasma.github.io/Logging_1430/klagomålsmail/A 23065-2026 FSC-klagomål mail.docx", "A 23065-2026")</f>
        <v/>
      </c>
      <c r="AC15">
        <f>HYPERLINK("https://klasma.github.io/Logging_1430/tillsyn/A 23065-2026 tillsynsbegäran.docx", "A 23065-2026")</f>
        <v/>
      </c>
      <c r="AD15">
        <f>HYPERLINK("https://klasma.github.io/Logging_1430/tillsynsmail/A 23065-2026 tillsynsbegäran mail.docx", "A 23065-2026")</f>
        <v/>
      </c>
    </row>
    <row r="16" ht="15" customHeight="1">
      <c r="A16" t="inlineStr">
        <is>
          <t>A 45083-2024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45575</v>
      </c>
      <c r="E16" s="1" t="n">
        <v>46319</v>
      </c>
      <c r="F16" t="inlineStr">
        <is>
          <t>VÄSTRA GÖTALANDS LÄN</t>
        </is>
      </c>
      <c r="G16" t="inlineStr">
        <is>
          <t>MUNKEDAL</t>
        </is>
      </c>
      <c r="I16" t="n">
        <v>2.7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Svinrot</t>
        </is>
      </c>
      <c r="W16">
        <f>HYPERLINK("https://klasma.github.io/Logging_1430/artfynd/A 45083-2024 artfynd.xlsx", "A 45083-2024")</f>
        <v/>
      </c>
      <c r="X16">
        <f>HYPERLINK("https://klasma.github.io/Logging_1430/kartor/A 45083-2024 karta.png", "A 45083-2024")</f>
        <v/>
      </c>
      <c r="Y16">
        <f>HYPERLINK("https://klasma.github.io/Logging_1430/kartor_geotiff/A 45083-2024 georefererad karta.tif", "A 45083-2024")</f>
        <v/>
      </c>
      <c r="AA16">
        <f>HYPERLINK("https://klasma.github.io/Logging_1430/klagomål/A 45083-2024 FSC-klagomål.docx", "A 45083-2024")</f>
        <v/>
      </c>
      <c r="AB16">
        <f>HYPERLINK("https://klasma.github.io/Logging_1430/klagomålsmail/A 45083-2024 FSC-klagomål mail.docx", "A 45083-2024")</f>
        <v/>
      </c>
      <c r="AC16">
        <f>HYPERLINK("https://klasma.github.io/Logging_1430/tillsyn/A 45083-2024 tillsynsbegäran.docx", "A 45083-2024")</f>
        <v/>
      </c>
      <c r="AD16">
        <f>HYPERLINK("https://klasma.github.io/Logging_1430/tillsynsmail/A 45083-2024 tillsynsbegäran mail.docx", "A 45083-2024")</f>
        <v/>
      </c>
    </row>
    <row r="17" ht="15" customHeight="1">
      <c r="A17" t="inlineStr">
        <is>
          <t>A 16618-2022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44672</v>
      </c>
      <c r="E17" s="1" t="n">
        <v>46319</v>
      </c>
      <c r="F17" t="inlineStr">
        <is>
          <t>VÄSTRA GÖTALANDS LÄN</t>
        </is>
      </c>
      <c r="G17" t="inlineStr">
        <is>
          <t>MUNKEDAL</t>
        </is>
      </c>
      <c r="I17" t="n">
        <v>0.8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2</v>
      </c>
      <c r="V17" s="2" t="inlineStr">
        <is>
          <t>Vanlig padda</t>
        </is>
      </c>
      <c r="W17">
        <f>HYPERLINK("https://klasma.github.io/Logging_1430/artfynd/A 16618-2022 artfynd.xlsx", "A 16618-2022")</f>
        <v/>
      </c>
      <c r="X17">
        <f>HYPERLINK("https://klasma.github.io/Logging_1430/kartor/A 16618-2022 karta.png", "A 16618-2022")</f>
        <v/>
      </c>
      <c r="Y17">
        <f>HYPERLINK("https://klasma.github.io/Logging_1430/kartor_geotiff/A 16618-2022 georefererad karta.tif", "A 16618-2022")</f>
        <v/>
      </c>
      <c r="AA17">
        <f>HYPERLINK("https://klasma.github.io/Logging_1430/klagomål/A 16618-2022 FSC-klagomål.docx", "A 16618-2022")</f>
        <v/>
      </c>
      <c r="AB17">
        <f>HYPERLINK("https://klasma.github.io/Logging_1430/klagomålsmail/A 16618-2022 FSC-klagomål mail.docx", "A 16618-2022")</f>
        <v/>
      </c>
      <c r="AC17">
        <f>HYPERLINK("https://klasma.github.io/Logging_1430/tillsyn/A 16618-2022 tillsynsbegäran.docx", "A 16618-2022")</f>
        <v/>
      </c>
      <c r="AD17">
        <f>HYPERLINK("https://klasma.github.io/Logging_1430/tillsynsmail/A 16618-2022 tillsynsbegäran mail.docx", "A 16618-2022")</f>
        <v/>
      </c>
    </row>
    <row r="18" ht="15" customHeight="1">
      <c r="A18" t="inlineStr">
        <is>
          <t>A 2555-2023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44943</v>
      </c>
      <c r="E18" s="1" t="n">
        <v>46319</v>
      </c>
      <c r="F18" t="inlineStr">
        <is>
          <t>VÄSTRA GÖTALANDS LÄN</t>
        </is>
      </c>
      <c r="G18" t="inlineStr">
        <is>
          <t>MUNKEDAL</t>
        </is>
      </c>
      <c r="I18" t="n">
        <v>3.1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Svart trolldruva</t>
        </is>
      </c>
      <c r="W18">
        <f>HYPERLINK("https://klasma.github.io/Logging_1430/artfynd/A 2555-2023 artfynd.xlsx", "A 2555-2023")</f>
        <v/>
      </c>
      <c r="X18">
        <f>HYPERLINK("https://klasma.github.io/Logging_1430/kartor/A 2555-2023 karta.png", "A 2555-2023")</f>
        <v/>
      </c>
      <c r="Y18">
        <f>HYPERLINK("https://klasma.github.io/Logging_1430/kartor_geotiff/A 2555-2023 georefererad karta.tif", "A 2555-2023")</f>
        <v/>
      </c>
      <c r="AA18">
        <f>HYPERLINK("https://klasma.github.io/Logging_1430/klagomål/A 2555-2023 FSC-klagomål.docx", "A 2555-2023")</f>
        <v/>
      </c>
      <c r="AB18">
        <f>HYPERLINK("https://klasma.github.io/Logging_1430/klagomålsmail/A 2555-2023 FSC-klagomål mail.docx", "A 2555-2023")</f>
        <v/>
      </c>
      <c r="AC18">
        <f>HYPERLINK("https://klasma.github.io/Logging_1430/tillsyn/A 2555-2023 tillsynsbegäran.docx", "A 2555-2023")</f>
        <v/>
      </c>
      <c r="AD18">
        <f>HYPERLINK("https://klasma.github.io/Logging_1430/tillsynsmail/A 2555-2023 tillsynsbegäran mail.docx", "A 2555-2023")</f>
        <v/>
      </c>
    </row>
    <row r="19" ht="15" customHeight="1">
      <c r="A19" t="inlineStr">
        <is>
          <t>A 51398-2025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45947</v>
      </c>
      <c r="E19" s="1" t="n">
        <v>46319</v>
      </c>
      <c r="F19" t="inlineStr">
        <is>
          <t>VÄSTRA GÖTALANDS LÄN</t>
        </is>
      </c>
      <c r="G19" t="inlineStr">
        <is>
          <t>MUNKEDAL</t>
        </is>
      </c>
      <c r="I19" t="n">
        <v>2.1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Revlummer</t>
        </is>
      </c>
      <c r="W19">
        <f>HYPERLINK("https://klasma.github.io/Logging_1430/artfynd/A 51398-2025 artfynd.xlsx", "A 51398-2025")</f>
        <v/>
      </c>
      <c r="X19">
        <f>HYPERLINK("https://klasma.github.io/Logging_1430/kartor/A 51398-2025 karta.png", "A 51398-2025")</f>
        <v/>
      </c>
      <c r="Y19">
        <f>HYPERLINK("https://klasma.github.io/Logging_1430/kartor_geotiff/A 51398-2025 georefererad karta.tif", "A 51398-2025")</f>
        <v/>
      </c>
      <c r="AA19">
        <f>HYPERLINK("https://klasma.github.io/Logging_1430/klagomål/A 51398-2025 FSC-klagomål.docx", "A 51398-2025")</f>
        <v/>
      </c>
      <c r="AB19">
        <f>HYPERLINK("https://klasma.github.io/Logging_1430/klagomålsmail/A 51398-2025 FSC-klagomål mail.docx", "A 51398-2025")</f>
        <v/>
      </c>
      <c r="AC19">
        <f>HYPERLINK("https://klasma.github.io/Logging_1430/tillsyn/A 51398-2025 tillsynsbegäran.docx", "A 51398-2025")</f>
        <v/>
      </c>
      <c r="AD19">
        <f>HYPERLINK("https://klasma.github.io/Logging_1430/tillsynsmail/A 51398-2025 tillsynsbegäran mail.docx", "A 51398-2025")</f>
        <v/>
      </c>
    </row>
    <row r="20" ht="15" customHeight="1">
      <c r="A20" t="inlineStr">
        <is>
          <t>A 9934-2023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44978</v>
      </c>
      <c r="E20" s="1" t="n">
        <v>46319</v>
      </c>
      <c r="F20" t="inlineStr">
        <is>
          <t>VÄSTRA GÖTALANDS LÄN</t>
        </is>
      </c>
      <c r="G20" t="inlineStr">
        <is>
          <t>MUNKEDAL</t>
        </is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Spillkråka</t>
        </is>
      </c>
      <c r="W20">
        <f>HYPERLINK("https://klasma.github.io/Logging_1430/artfynd/A 9934-2023 artfynd.xlsx", "A 9934-2023")</f>
        <v/>
      </c>
      <c r="X20">
        <f>HYPERLINK("https://klasma.github.io/Logging_1430/kartor/A 9934-2023 karta.png", "A 9934-2023")</f>
        <v/>
      </c>
      <c r="Y20">
        <f>HYPERLINK("https://klasma.github.io/Logging_1430/kartor_geotiff/A 9934-2023 georefererad karta.tif", "A 9934-2023")</f>
        <v/>
      </c>
      <c r="AA20">
        <f>HYPERLINK("https://klasma.github.io/Logging_1430/klagomål/A 9934-2023 FSC-klagomål.docx", "A 9934-2023")</f>
        <v/>
      </c>
      <c r="AB20">
        <f>HYPERLINK("https://klasma.github.io/Logging_1430/klagomålsmail/A 9934-2023 FSC-klagomål mail.docx", "A 9934-2023")</f>
        <v/>
      </c>
      <c r="AC20">
        <f>HYPERLINK("https://klasma.github.io/Logging_1430/tillsyn/A 9934-2023 tillsynsbegäran.docx", "A 9934-2023")</f>
        <v/>
      </c>
      <c r="AD20">
        <f>HYPERLINK("https://klasma.github.io/Logging_1430/tillsynsmail/A 9934-2023 tillsynsbegäran mail.docx", "A 9934-2023")</f>
        <v/>
      </c>
      <c r="AE20">
        <f>HYPERLINK("https://klasma.github.io/Logging_1430/fåglar/A 9934-2023 prioriterade fågelarter.docx", "A 9934-2023")</f>
        <v/>
      </c>
    </row>
    <row r="21" ht="15" customHeight="1">
      <c r="A21" t="inlineStr">
        <is>
          <t>A 20258-2022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44698</v>
      </c>
      <c r="E21" s="1" t="n">
        <v>46319</v>
      </c>
      <c r="F21" t="inlineStr">
        <is>
          <t>VÄSTRA GÖTALANDS LÄN</t>
        </is>
      </c>
      <c r="G21" t="inlineStr">
        <is>
          <t>MUNKEDAL</t>
        </is>
      </c>
      <c r="I21" t="n">
        <v>1.7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Honungsvaxing</t>
        </is>
      </c>
      <c r="W21">
        <f>HYPERLINK("https://klasma.github.io/Logging_1430/artfynd/A 20258-2022 artfynd.xlsx", "A 20258-2022")</f>
        <v/>
      </c>
      <c r="X21">
        <f>HYPERLINK("https://klasma.github.io/Logging_1430/kartor/A 20258-2022 karta.png", "A 20258-2022")</f>
        <v/>
      </c>
      <c r="Y21">
        <f>HYPERLINK("https://klasma.github.io/Logging_1430/kartor_geotiff/A 20258-2022 georefererad karta.tif", "A 20258-2022")</f>
        <v/>
      </c>
      <c r="AA21">
        <f>HYPERLINK("https://klasma.github.io/Logging_1430/klagomål/A 20258-2022 FSC-klagomål.docx", "A 20258-2022")</f>
        <v/>
      </c>
      <c r="AB21">
        <f>HYPERLINK("https://klasma.github.io/Logging_1430/klagomålsmail/A 20258-2022 FSC-klagomål mail.docx", "A 20258-2022")</f>
        <v/>
      </c>
      <c r="AC21">
        <f>HYPERLINK("https://klasma.github.io/Logging_1430/tillsyn/A 20258-2022 tillsynsbegäran.docx", "A 20258-2022")</f>
        <v/>
      </c>
      <c r="AD21">
        <f>HYPERLINK("https://klasma.github.io/Logging_1430/tillsynsmail/A 20258-2022 tillsynsbegäran mail.docx", "A 20258-2022")</f>
        <v/>
      </c>
    </row>
    <row r="22" ht="15" customHeight="1">
      <c r="A22" t="inlineStr">
        <is>
          <t>A 62525-2021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44503</v>
      </c>
      <c r="E22" s="1" t="n">
        <v>46319</v>
      </c>
      <c r="F22" t="inlineStr">
        <is>
          <t>VÄSTRA GÖTALANDS LÄN</t>
        </is>
      </c>
      <c r="G22" t="inlineStr">
        <is>
          <t>MUNKEDAL</t>
        </is>
      </c>
      <c r="I22" t="n">
        <v>14.5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s="2" t="inlineStr">
        <is>
          <t>Trollsmultron</t>
        </is>
      </c>
      <c r="W22">
        <f>HYPERLINK("https://klasma.github.io/Logging_1430/artfynd/A 62525-2021 artfynd.xlsx", "A 62525-2021")</f>
        <v/>
      </c>
      <c r="X22">
        <f>HYPERLINK("https://klasma.github.io/Logging_1430/kartor/A 62525-2021 karta.png", "A 62525-2021")</f>
        <v/>
      </c>
      <c r="Y22">
        <f>HYPERLINK("https://klasma.github.io/Logging_1430/kartor_geotiff/A 62525-2021 georefererad karta.tif", "A 62525-2021")</f>
        <v/>
      </c>
      <c r="AA22">
        <f>HYPERLINK("https://klasma.github.io/Logging_1430/klagomål/A 62525-2021 FSC-klagomål.docx", "A 62525-2021")</f>
        <v/>
      </c>
      <c r="AB22">
        <f>HYPERLINK("https://klasma.github.io/Logging_1430/klagomålsmail/A 62525-2021 FSC-klagomål mail.docx", "A 62525-2021")</f>
        <v/>
      </c>
      <c r="AC22">
        <f>HYPERLINK("https://klasma.github.io/Logging_1430/tillsyn/A 62525-2021 tillsynsbegäran.docx", "A 62525-2021")</f>
        <v/>
      </c>
      <c r="AD22">
        <f>HYPERLINK("https://klasma.github.io/Logging_1430/tillsynsmail/A 62525-2021 tillsynsbegäran mail.docx", "A 62525-2021")</f>
        <v/>
      </c>
    </row>
    <row r="23" ht="15" customHeight="1">
      <c r="A23" t="inlineStr">
        <is>
          <t>A 37035-2024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45539</v>
      </c>
      <c r="E23" s="1" t="n">
        <v>46319</v>
      </c>
      <c r="F23" t="inlineStr">
        <is>
          <t>VÄSTRA GÖTALANDS LÄN</t>
        </is>
      </c>
      <c r="G23" t="inlineStr">
        <is>
          <t>MUNKEDAL</t>
        </is>
      </c>
      <c r="H23" t="inlineStr">
        <is>
          <t>Övriga Aktiebolag</t>
        </is>
      </c>
      <c r="I23" t="n">
        <v>43.6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Svinrot</t>
        </is>
      </c>
      <c r="W23">
        <f>HYPERLINK("https://klasma.github.io/Logging_1430/artfynd/A 37035-2024 artfynd.xlsx", "A 37035-2024")</f>
        <v/>
      </c>
      <c r="X23">
        <f>HYPERLINK("https://klasma.github.io/Logging_1430/kartor/A 37035-2024 karta.png", "A 37035-2024")</f>
        <v/>
      </c>
      <c r="Y23">
        <f>HYPERLINK("https://klasma.github.io/Logging_1430/kartor_geotiff/A 37035-2024 georefererad karta.tif", "A 37035-2024")</f>
        <v/>
      </c>
      <c r="AA23">
        <f>HYPERLINK("https://klasma.github.io/Logging_1430/klagomål/A 37035-2024 FSC-klagomål.docx", "A 37035-2024")</f>
        <v/>
      </c>
      <c r="AB23">
        <f>HYPERLINK("https://klasma.github.io/Logging_1430/klagomålsmail/A 37035-2024 FSC-klagomål mail.docx", "A 37035-2024")</f>
        <v/>
      </c>
      <c r="AC23">
        <f>HYPERLINK("https://klasma.github.io/Logging_1430/tillsyn/A 37035-2024 tillsynsbegäran.docx", "A 37035-2024")</f>
        <v/>
      </c>
      <c r="AD23">
        <f>HYPERLINK("https://klasma.github.io/Logging_1430/tillsynsmail/A 37035-2024 tillsynsbegäran mail.docx", "A 37035-2024")</f>
        <v/>
      </c>
    </row>
    <row r="24" ht="15" customHeight="1">
      <c r="A24" t="inlineStr">
        <is>
          <t>A 58890-2022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44903</v>
      </c>
      <c r="E24" s="1" t="n">
        <v>46319</v>
      </c>
      <c r="F24" t="inlineStr">
        <is>
          <t>VÄSTRA GÖTALANDS LÄN</t>
        </is>
      </c>
      <c r="G24" t="inlineStr">
        <is>
          <t>MUNKEDAL</t>
        </is>
      </c>
      <c r="I24" t="n">
        <v>5.4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Stor revmossa</t>
        </is>
      </c>
      <c r="W24">
        <f>HYPERLINK("https://klasma.github.io/Logging_1430/artfynd/A 58890-2022 artfynd.xlsx", "A 58890-2022")</f>
        <v/>
      </c>
      <c r="X24">
        <f>HYPERLINK("https://klasma.github.io/Logging_1430/kartor/A 58890-2022 karta.png", "A 58890-2022")</f>
        <v/>
      </c>
      <c r="Y24">
        <f>HYPERLINK("https://klasma.github.io/Logging_1430/kartor_geotiff/A 58890-2022 georefererad karta.tif", "A 58890-2022")</f>
        <v/>
      </c>
      <c r="AA24">
        <f>HYPERLINK("https://klasma.github.io/Logging_1430/klagomål/A 58890-2022 FSC-klagomål.docx", "A 58890-2022")</f>
        <v/>
      </c>
      <c r="AB24">
        <f>HYPERLINK("https://klasma.github.io/Logging_1430/klagomålsmail/A 58890-2022 FSC-klagomål mail.docx", "A 58890-2022")</f>
        <v/>
      </c>
      <c r="AC24">
        <f>HYPERLINK("https://klasma.github.io/Logging_1430/tillsyn/A 58890-2022 tillsynsbegäran.docx", "A 58890-2022")</f>
        <v/>
      </c>
      <c r="AD24">
        <f>HYPERLINK("https://klasma.github.io/Logging_1430/tillsynsmail/A 58890-2022 tillsynsbegäran mail.docx", "A 58890-2022")</f>
        <v/>
      </c>
    </row>
    <row r="25" ht="15" customHeight="1">
      <c r="A25" t="inlineStr">
        <is>
          <t>A 45160-2024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45575</v>
      </c>
      <c r="E25" s="1" t="n">
        <v>46319</v>
      </c>
      <c r="F25" t="inlineStr">
        <is>
          <t>VÄSTRA GÖTALANDS LÄN</t>
        </is>
      </c>
      <c r="G25" t="inlineStr">
        <is>
          <t>MUNKEDAL</t>
        </is>
      </c>
      <c r="H25" t="inlineStr">
        <is>
          <t>Naturvårdsverket</t>
        </is>
      </c>
      <c r="I25" t="n">
        <v>3.4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Spillkråka</t>
        </is>
      </c>
      <c r="W25">
        <f>HYPERLINK("https://klasma.github.io/Logging_1430/artfynd/A 45160-2024 artfynd.xlsx", "A 45160-2024")</f>
        <v/>
      </c>
      <c r="X25">
        <f>HYPERLINK("https://klasma.github.io/Logging_1430/kartor/A 45160-2024 karta.png", "A 45160-2024")</f>
        <v/>
      </c>
      <c r="Y25">
        <f>HYPERLINK("https://klasma.github.io/Logging_1430/kartor_geotiff/A 45160-2024 georefererad karta.tif", "A 45160-2024")</f>
        <v/>
      </c>
      <c r="AA25">
        <f>HYPERLINK("https://klasma.github.io/Logging_1430/klagomål/A 45160-2024 FSC-klagomål.docx", "A 45160-2024")</f>
        <v/>
      </c>
      <c r="AB25">
        <f>HYPERLINK("https://klasma.github.io/Logging_1430/klagomålsmail/A 45160-2024 FSC-klagomål mail.docx", "A 45160-2024")</f>
        <v/>
      </c>
      <c r="AC25">
        <f>HYPERLINK("https://klasma.github.io/Logging_1430/tillsyn/A 45160-2024 tillsynsbegäran.docx", "A 45160-2024")</f>
        <v/>
      </c>
      <c r="AD25">
        <f>HYPERLINK("https://klasma.github.io/Logging_1430/tillsynsmail/A 45160-2024 tillsynsbegäran mail.docx", "A 45160-2024")</f>
        <v/>
      </c>
      <c r="AE25">
        <f>HYPERLINK("https://klasma.github.io/Logging_1430/fåglar/A 45160-2024 prioriterade fågelarter.docx", "A 45160-2024")</f>
        <v/>
      </c>
    </row>
    <row r="26" ht="15" customHeight="1">
      <c r="A26" t="inlineStr">
        <is>
          <t>A 2887-2025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45677</v>
      </c>
      <c r="E26" s="1" t="n">
        <v>46319</v>
      </c>
      <c r="F26" t="inlineStr">
        <is>
          <t>VÄSTRA GÖTALANDS LÄN</t>
        </is>
      </c>
      <c r="G26" t="inlineStr">
        <is>
          <t>MUNKEDAL</t>
        </is>
      </c>
      <c r="H26" t="inlineStr">
        <is>
          <t>Övriga Aktiebolag</t>
        </is>
      </c>
      <c r="I26" t="n">
        <v>9.699999999999999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Krusfrö</t>
        </is>
      </c>
      <c r="W26">
        <f>HYPERLINK("https://klasma.github.io/Logging_1430/artfynd/A 2887-2025 artfynd.xlsx", "A 2887-2025")</f>
        <v/>
      </c>
      <c r="X26">
        <f>HYPERLINK("https://klasma.github.io/Logging_1430/kartor/A 2887-2025 karta.png", "A 2887-2025")</f>
        <v/>
      </c>
      <c r="Y26">
        <f>HYPERLINK("https://klasma.github.io/Logging_1430/kartor_geotiff/A 2887-2025 georefererad karta.tif", "A 2887-2025")</f>
        <v/>
      </c>
      <c r="AA26">
        <f>HYPERLINK("https://klasma.github.io/Logging_1430/klagomål/A 2887-2025 FSC-klagomål.docx", "A 2887-2025")</f>
        <v/>
      </c>
      <c r="AB26">
        <f>HYPERLINK("https://klasma.github.io/Logging_1430/klagomålsmail/A 2887-2025 FSC-klagomål mail.docx", "A 2887-2025")</f>
        <v/>
      </c>
      <c r="AC26">
        <f>HYPERLINK("https://klasma.github.io/Logging_1430/tillsyn/A 2887-2025 tillsynsbegäran.docx", "A 2887-2025")</f>
        <v/>
      </c>
      <c r="AD26">
        <f>HYPERLINK("https://klasma.github.io/Logging_1430/tillsynsmail/A 2887-2025 tillsynsbegäran mail.docx", "A 2887-2025")</f>
        <v/>
      </c>
    </row>
    <row r="27" ht="15" customHeight="1">
      <c r="A27" t="inlineStr">
        <is>
          <t>A 1647-2025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45670</v>
      </c>
      <c r="E27" s="1" t="n">
        <v>46319</v>
      </c>
      <c r="F27" t="inlineStr">
        <is>
          <t>VÄSTRA GÖTALANDS LÄN</t>
        </is>
      </c>
      <c r="G27" t="inlineStr">
        <is>
          <t>MUNKEDAL</t>
        </is>
      </c>
      <c r="H27" t="inlineStr">
        <is>
          <t>Övriga Aktiebolag</t>
        </is>
      </c>
      <c r="I27" t="n">
        <v>19.8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Mattlummer</t>
        </is>
      </c>
      <c r="W27">
        <f>HYPERLINK("https://klasma.github.io/Logging_1430/artfynd/A 1647-2025 artfynd.xlsx", "A 1647-2025")</f>
        <v/>
      </c>
      <c r="X27">
        <f>HYPERLINK("https://klasma.github.io/Logging_1430/kartor/A 1647-2025 karta.png", "A 1647-2025")</f>
        <v/>
      </c>
      <c r="Y27">
        <f>HYPERLINK("https://klasma.github.io/Logging_1430/kartor_geotiff/A 1647-2025 georefererad karta.tif", "A 1647-2025")</f>
        <v/>
      </c>
      <c r="AA27">
        <f>HYPERLINK("https://klasma.github.io/Logging_1430/klagomål/A 1647-2025 FSC-klagomål.docx", "A 1647-2025")</f>
        <v/>
      </c>
      <c r="AB27">
        <f>HYPERLINK("https://klasma.github.io/Logging_1430/klagomålsmail/A 1647-2025 FSC-klagomål mail.docx", "A 1647-2025")</f>
        <v/>
      </c>
      <c r="AC27">
        <f>HYPERLINK("https://klasma.github.io/Logging_1430/tillsyn/A 1647-2025 tillsynsbegäran.docx", "A 1647-2025")</f>
        <v/>
      </c>
      <c r="AD27">
        <f>HYPERLINK("https://klasma.github.io/Logging_1430/tillsynsmail/A 1647-2025 tillsynsbegäran mail.docx", "A 1647-2025")</f>
        <v/>
      </c>
    </row>
    <row r="28" ht="15" customHeight="1">
      <c r="A28" t="inlineStr">
        <is>
          <t>A 36912-2023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45153</v>
      </c>
      <c r="E28" s="1" t="n">
        <v>46319</v>
      </c>
      <c r="F28" t="inlineStr">
        <is>
          <t>VÄSTRA GÖTALANDS LÄN</t>
        </is>
      </c>
      <c r="G28" t="inlineStr">
        <is>
          <t>MUNKEDAL</t>
        </is>
      </c>
      <c r="H28" t="inlineStr">
        <is>
          <t>Övriga Aktiebolag</t>
        </is>
      </c>
      <c r="I28" t="n">
        <v>2.7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Jaktfalk</t>
        </is>
      </c>
      <c r="W28">
        <f>HYPERLINK("https://klasma.github.io/Logging_1430/artfynd/A 36912-2023 artfynd.xlsx", "A 36912-2023")</f>
        <v/>
      </c>
      <c r="X28">
        <f>HYPERLINK("https://klasma.github.io/Logging_1430/kartor/A 36912-2023 karta.png", "A 36912-2023")</f>
        <v/>
      </c>
      <c r="Y28">
        <f>HYPERLINK("https://klasma.github.io/Logging_1430/kartor_geotiff/A 36912-2023 georefererad karta.tif", "A 36912-2023")</f>
        <v/>
      </c>
      <c r="AA28">
        <f>HYPERLINK("https://klasma.github.io/Logging_1430/klagomål/A 36912-2023 FSC-klagomål.docx", "A 36912-2023")</f>
        <v/>
      </c>
      <c r="AB28">
        <f>HYPERLINK("https://klasma.github.io/Logging_1430/klagomålsmail/A 36912-2023 FSC-klagomål mail.docx", "A 36912-2023")</f>
        <v/>
      </c>
      <c r="AC28">
        <f>HYPERLINK("https://klasma.github.io/Logging_1430/tillsyn/A 36912-2023 tillsynsbegäran.docx", "A 36912-2023")</f>
        <v/>
      </c>
      <c r="AD28">
        <f>HYPERLINK("https://klasma.github.io/Logging_1430/tillsynsmail/A 36912-2023 tillsynsbegäran mail.docx", "A 36912-2023")</f>
        <v/>
      </c>
    </row>
    <row r="29" ht="15" customHeight="1">
      <c r="A29" t="inlineStr">
        <is>
          <t>S 622-2024</t>
        </is>
      </c>
      <c r="B29" t="inlineStr">
        <is>
          <t>samrådsanmälan</t>
        </is>
      </c>
      <c r="C29" t="inlineStr">
        <is>
          <t>Askåterföring</t>
        </is>
      </c>
      <c r="D29" s="1" t="n">
        <v>45352</v>
      </c>
      <c r="E29" s="1" t="n">
        <v>46319</v>
      </c>
      <c r="F29" t="inlineStr">
        <is>
          <t>VÄSTRA GÖTALANDS LÄN</t>
        </is>
      </c>
      <c r="G29" t="inlineStr">
        <is>
          <t>MUNKEDAL</t>
        </is>
      </c>
      <c r="I29" t="n">
        <v>22.5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Havsörn</t>
        </is>
      </c>
      <c r="W29">
        <f>HYPERLINK("https://klasma.github.io/Logging_1430/artfynd/S 622-2024 artfynd.xlsx", "S 622-2024")</f>
        <v/>
      </c>
      <c r="X29">
        <f>HYPERLINK("https://klasma.github.io/Logging_1430/kartor/S 622-2024 karta.png", "S 622-2024")</f>
        <v/>
      </c>
      <c r="Y29">
        <f>HYPERLINK("https://klasma.github.io/Logging_1430/kartor_geotiff/S 622-2024 georefererad karta.tif", "S 622-2024")</f>
        <v/>
      </c>
      <c r="AA29">
        <f>HYPERLINK("https://klasma.github.io/Logging_1430/klagomål/S 622-2024 FSC-klagomål.docx", "S 622-2024")</f>
        <v/>
      </c>
      <c r="AB29">
        <f>HYPERLINK("https://klasma.github.io/Logging_1430/klagomålsmail/S 622-2024 FSC-klagomål mail.docx", "S 622-2024")</f>
        <v/>
      </c>
      <c r="AC29">
        <f>HYPERLINK("https://klasma.github.io/Logging_1430/tillsyn/S 622-2024 tillsynsbegäran.docx", "S 622-2024")</f>
        <v/>
      </c>
      <c r="AD29">
        <f>HYPERLINK("https://klasma.github.io/Logging_1430/tillsynsmail/S 622-2024 tillsynsbegäran mail.docx", "S 622-2024")</f>
        <v/>
      </c>
      <c r="AE29">
        <f>HYPERLINK("https://klasma.github.io/Logging_1430/fåglar/S 622-2024 prioriterade fågelarter.docx", "S 622-2024")</f>
        <v/>
      </c>
    </row>
    <row r="30" ht="15" customHeight="1">
      <c r="A30" t="inlineStr">
        <is>
          <t>A 56037-2022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44889</v>
      </c>
      <c r="E30" s="1" t="n">
        <v>46319</v>
      </c>
      <c r="F30" t="inlineStr">
        <is>
          <t>VÄSTRA GÖTALANDS LÄN</t>
        </is>
      </c>
      <c r="G30" t="inlineStr">
        <is>
          <t>MUNKEDAL</t>
        </is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73977-2021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44554</v>
      </c>
      <c r="E31" s="1" t="n">
        <v>46319</v>
      </c>
      <c r="F31" t="inlineStr">
        <is>
          <t>VÄSTRA GÖTALANDS LÄN</t>
        </is>
      </c>
      <c r="G31" t="inlineStr">
        <is>
          <t>MUNKEDAL</t>
        </is>
      </c>
      <c r="I31" t="n">
        <v>0.9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68218-2021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44525</v>
      </c>
      <c r="E32" s="1" t="n">
        <v>46319</v>
      </c>
      <c r="F32" t="inlineStr">
        <is>
          <t>VÄSTRA GÖTALANDS LÄN</t>
        </is>
      </c>
      <c r="G32" t="inlineStr">
        <is>
          <t>MUNKEDAL</t>
        </is>
      </c>
      <c r="H32" t="inlineStr">
        <is>
          <t>Övriga Aktiebolag</t>
        </is>
      </c>
      <c r="I32" t="n">
        <v>1.2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15835-2022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44664</v>
      </c>
      <c r="E33" s="1" t="n">
        <v>46319</v>
      </c>
      <c r="F33" t="inlineStr">
        <is>
          <t>VÄSTRA GÖTALANDS LÄN</t>
        </is>
      </c>
      <c r="G33" t="inlineStr">
        <is>
          <t>MUNKEDAL</t>
        </is>
      </c>
      <c r="I33" t="n">
        <v>3.4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63901-2021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44509</v>
      </c>
      <c r="E34" s="1" t="n">
        <v>46319</v>
      </c>
      <c r="F34" t="inlineStr">
        <is>
          <t>VÄSTRA GÖTALANDS LÄN</t>
        </is>
      </c>
      <c r="G34" t="inlineStr">
        <is>
          <t>MUNKEDAL</t>
        </is>
      </c>
      <c r="I34" t="n">
        <v>3.6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14268-2022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44651</v>
      </c>
      <c r="E35" s="1" t="n">
        <v>46319</v>
      </c>
      <c r="F35" t="inlineStr">
        <is>
          <t>VÄSTRA GÖTALANDS LÄN</t>
        </is>
      </c>
      <c r="G35" t="inlineStr">
        <is>
          <t>MUNKEDAL</t>
        </is>
      </c>
      <c r="I35" t="n">
        <v>1.5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18965-2022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44690</v>
      </c>
      <c r="E36" s="1" t="n">
        <v>46319</v>
      </c>
      <c r="F36" t="inlineStr">
        <is>
          <t>VÄSTRA GÖTALANDS LÄN</t>
        </is>
      </c>
      <c r="G36" t="inlineStr">
        <is>
          <t>MUNKEDAL</t>
        </is>
      </c>
      <c r="I36" t="n">
        <v>2.9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2797-2022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44581</v>
      </c>
      <c r="E37" s="1" t="n">
        <v>46319</v>
      </c>
      <c r="F37" t="inlineStr">
        <is>
          <t>VÄSTRA GÖTALANDS LÄN</t>
        </is>
      </c>
      <c r="G37" t="inlineStr">
        <is>
          <t>MUNKEDAL</t>
        </is>
      </c>
      <c r="I37" t="n">
        <v>1.3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68333-2021</t>
        </is>
      </c>
      <c r="B38" t="inlineStr">
        <is>
          <t>avverkningsanmälan</t>
        </is>
      </c>
      <c r="C38" t="inlineStr">
        <is>
          <t>Avverkning för annat ändamål</t>
        </is>
      </c>
      <c r="D38" s="1" t="n">
        <v>44527</v>
      </c>
      <c r="E38" s="1" t="n">
        <v>46319</v>
      </c>
      <c r="F38" t="inlineStr">
        <is>
          <t>VÄSTRA GÖTALANDS LÄN</t>
        </is>
      </c>
      <c r="G38" t="inlineStr">
        <is>
          <t>MUNKEDAL</t>
        </is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186-2022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44563</v>
      </c>
      <c r="E39" s="1" t="n">
        <v>46319</v>
      </c>
      <c r="F39" t="inlineStr">
        <is>
          <t>VÄSTRA GÖTALANDS LÄN</t>
        </is>
      </c>
      <c r="G39" t="inlineStr">
        <is>
          <t>MUNKEDAL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37330-2022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44806</v>
      </c>
      <c r="E40" s="1" t="n">
        <v>46319</v>
      </c>
      <c r="F40" t="inlineStr">
        <is>
          <t>VÄSTRA GÖTALANDS LÄN</t>
        </is>
      </c>
      <c r="G40" t="inlineStr">
        <is>
          <t>MUNKEDAL</t>
        </is>
      </c>
      <c r="H40" t="inlineStr">
        <is>
          <t>Övriga Aktiebolag</t>
        </is>
      </c>
      <c r="I40" t="n">
        <v>0.7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51431-2022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44866</v>
      </c>
      <c r="E41" s="1" t="n">
        <v>46319</v>
      </c>
      <c r="F41" t="inlineStr">
        <is>
          <t>VÄSTRA GÖTALANDS LÄN</t>
        </is>
      </c>
      <c r="G41" t="inlineStr">
        <is>
          <t>MUNKEDAL</t>
        </is>
      </c>
      <c r="I41" t="n">
        <v>5.8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11367-2022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44630</v>
      </c>
      <c r="E42" s="1" t="n">
        <v>46319</v>
      </c>
      <c r="F42" t="inlineStr">
        <is>
          <t>VÄSTRA GÖTALANDS LÄN</t>
        </is>
      </c>
      <c r="G42" t="inlineStr">
        <is>
          <t>MUNKEDAL</t>
        </is>
      </c>
      <c r="I42" t="n">
        <v>9.800000000000001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43360-2022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44834</v>
      </c>
      <c r="E43" s="1" t="n">
        <v>46319</v>
      </c>
      <c r="F43" t="inlineStr">
        <is>
          <t>VÄSTRA GÖTALANDS LÄN</t>
        </is>
      </c>
      <c r="G43" t="inlineStr">
        <is>
          <t>MUNKEDAL</t>
        </is>
      </c>
      <c r="I43" t="n">
        <v>2.2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51407-2022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44866</v>
      </c>
      <c r="E44" s="1" t="n">
        <v>46319</v>
      </c>
      <c r="F44" t="inlineStr">
        <is>
          <t>VÄSTRA GÖTALANDS LÄN</t>
        </is>
      </c>
      <c r="G44" t="inlineStr">
        <is>
          <t>MUNKEDAL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40940-2022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44823</v>
      </c>
      <c r="E45" s="1" t="n">
        <v>46319</v>
      </c>
      <c r="F45" t="inlineStr">
        <is>
          <t>VÄSTRA GÖTALANDS LÄN</t>
        </is>
      </c>
      <c r="G45" t="inlineStr">
        <is>
          <t>MUNKEDAL</t>
        </is>
      </c>
      <c r="I45" t="n">
        <v>1.2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21129-2022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44704</v>
      </c>
      <c r="E46" s="1" t="n">
        <v>46319</v>
      </c>
      <c r="F46" t="inlineStr">
        <is>
          <t>VÄSTRA GÖTALANDS LÄN</t>
        </is>
      </c>
      <c r="G46" t="inlineStr">
        <is>
          <t>MUNKEDAL</t>
        </is>
      </c>
      <c r="I46" t="n">
        <v>1.6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68596-2021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44529</v>
      </c>
      <c r="E47" s="1" t="n">
        <v>46319</v>
      </c>
      <c r="F47" t="inlineStr">
        <is>
          <t>VÄSTRA GÖTALANDS LÄN</t>
        </is>
      </c>
      <c r="G47" t="inlineStr">
        <is>
          <t>MUNKEDAL</t>
        </is>
      </c>
      <c r="I47" t="n">
        <v>0.9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17971-2022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44683</v>
      </c>
      <c r="E48" s="1" t="n">
        <v>46319</v>
      </c>
      <c r="F48" t="inlineStr">
        <is>
          <t>VÄSTRA GÖTALANDS LÄN</t>
        </is>
      </c>
      <c r="G48" t="inlineStr">
        <is>
          <t>MUNKEDAL</t>
        </is>
      </c>
      <c r="I48" t="n">
        <v>0.9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8185-2022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44609</v>
      </c>
      <c r="E49" s="1" t="n">
        <v>46319</v>
      </c>
      <c r="F49" t="inlineStr">
        <is>
          <t>VÄSTRA GÖTALANDS LÄN</t>
        </is>
      </c>
      <c r="G49" t="inlineStr">
        <is>
          <t>MUNKEDAL</t>
        </is>
      </c>
      <c r="I49" t="n">
        <v>3.1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17338-2022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44678</v>
      </c>
      <c r="E50" s="1" t="n">
        <v>46319</v>
      </c>
      <c r="F50" t="inlineStr">
        <is>
          <t>VÄSTRA GÖTALANDS LÄN</t>
        </is>
      </c>
      <c r="G50" t="inlineStr">
        <is>
          <t>MUNKEDAL</t>
        </is>
      </c>
      <c r="I50" t="n">
        <v>4.4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24809-2023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45084</v>
      </c>
      <c r="E51" s="1" t="n">
        <v>46319</v>
      </c>
      <c r="F51" t="inlineStr">
        <is>
          <t>VÄSTRA GÖTALANDS LÄN</t>
        </is>
      </c>
      <c r="G51" t="inlineStr">
        <is>
          <t>MUNKEDAL</t>
        </is>
      </c>
      <c r="I51" t="n">
        <v>0.9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19887-2022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44697</v>
      </c>
      <c r="E52" s="1" t="n">
        <v>46319</v>
      </c>
      <c r="F52" t="inlineStr">
        <is>
          <t>VÄSTRA GÖTALANDS LÄN</t>
        </is>
      </c>
      <c r="G52" t="inlineStr">
        <is>
          <t>MUNKEDAL</t>
        </is>
      </c>
      <c r="I52" t="n">
        <v>0.5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24150-2023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45076</v>
      </c>
      <c r="E53" s="1" t="n">
        <v>46319</v>
      </c>
      <c r="F53" t="inlineStr">
        <is>
          <t>VÄSTRA GÖTALANDS LÄN</t>
        </is>
      </c>
      <c r="G53" t="inlineStr">
        <is>
          <t>MUNKEDAL</t>
        </is>
      </c>
      <c r="I53" t="n">
        <v>3.1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26076-2025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45805</v>
      </c>
      <c r="E54" s="1" t="n">
        <v>46319</v>
      </c>
      <c r="F54" t="inlineStr">
        <is>
          <t>VÄSTRA GÖTALANDS LÄN</t>
        </is>
      </c>
      <c r="G54" t="inlineStr">
        <is>
          <t>MUNKEDAL</t>
        </is>
      </c>
      <c r="I54" t="n">
        <v>1.5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38977-2025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45887</v>
      </c>
      <c r="E55" s="1" t="n">
        <v>46319</v>
      </c>
      <c r="F55" t="inlineStr">
        <is>
          <t>VÄSTRA GÖTALANDS LÄN</t>
        </is>
      </c>
      <c r="G55" t="inlineStr">
        <is>
          <t>MUNKEDAL</t>
        </is>
      </c>
      <c r="I55" t="n">
        <v>2.2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28397-2025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45819</v>
      </c>
      <c r="E56" s="1" t="n">
        <v>46319</v>
      </c>
      <c r="F56" t="inlineStr">
        <is>
          <t>VÄSTRA GÖTALANDS LÄN</t>
        </is>
      </c>
      <c r="G56" t="inlineStr">
        <is>
          <t>MUNKEDAL</t>
        </is>
      </c>
      <c r="I56" t="n">
        <v>1.5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56892-2023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45244</v>
      </c>
      <c r="E57" s="1" t="n">
        <v>46319</v>
      </c>
      <c r="F57" t="inlineStr">
        <is>
          <t>VÄSTRA GÖTALANDS LÄN</t>
        </is>
      </c>
      <c r="G57" t="inlineStr">
        <is>
          <t>MUNKEDAL</t>
        </is>
      </c>
      <c r="I57" t="n">
        <v>1.8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31350-2022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44774</v>
      </c>
      <c r="E58" s="1" t="n">
        <v>46319</v>
      </c>
      <c r="F58" t="inlineStr">
        <is>
          <t>VÄSTRA GÖTALANDS LÄN</t>
        </is>
      </c>
      <c r="G58" t="inlineStr">
        <is>
          <t>MUNKEDAL</t>
        </is>
      </c>
      <c r="I58" t="n">
        <v>1.8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38544-2024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45546</v>
      </c>
      <c r="E59" s="1" t="n">
        <v>46319</v>
      </c>
      <c r="F59" t="inlineStr">
        <is>
          <t>VÄSTRA GÖTALANDS LÄN</t>
        </is>
      </c>
      <c r="G59" t="inlineStr">
        <is>
          <t>MUNKEDAL</t>
        </is>
      </c>
      <c r="I59" t="n">
        <v>0.8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15853-2023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45022</v>
      </c>
      <c r="E60" s="1" t="n">
        <v>46319</v>
      </c>
      <c r="F60" t="inlineStr">
        <is>
          <t>VÄSTRA GÖTALANDS LÄN</t>
        </is>
      </c>
      <c r="G60" t="inlineStr">
        <is>
          <t>MUNKEDAL</t>
        </is>
      </c>
      <c r="I60" t="n">
        <v>1.1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49218-2022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44861</v>
      </c>
      <c r="E61" s="1" t="n">
        <v>46319</v>
      </c>
      <c r="F61" t="inlineStr">
        <is>
          <t>VÄSTRA GÖTALANDS LÄN</t>
        </is>
      </c>
      <c r="G61" t="inlineStr">
        <is>
          <t>MUNKEDAL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40476-2025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45895</v>
      </c>
      <c r="E62" s="1" t="n">
        <v>46319</v>
      </c>
      <c r="F62" t="inlineStr">
        <is>
          <t>VÄSTRA GÖTALANDS LÄN</t>
        </is>
      </c>
      <c r="G62" t="inlineStr">
        <is>
          <t>MUNKEDAL</t>
        </is>
      </c>
      <c r="I62" t="n">
        <v>1.9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58617-2023</t>
        </is>
      </c>
      <c r="B63" t="inlineStr">
        <is>
          <t>avverkningsanmälan</t>
        </is>
      </c>
      <c r="C63" t="inlineStr">
        <is>
          <t>Avverkning för annat ändamål</t>
        </is>
      </c>
      <c r="D63" s="1" t="n">
        <v>45251</v>
      </c>
      <c r="E63" s="1" t="n">
        <v>46319</v>
      </c>
      <c r="F63" t="inlineStr">
        <is>
          <t>VÄSTRA GÖTALANDS LÄN</t>
        </is>
      </c>
      <c r="G63" t="inlineStr">
        <is>
          <t>MUNKEDAL</t>
        </is>
      </c>
      <c r="I63" t="n">
        <v>0.6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40431-2025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45895</v>
      </c>
      <c r="E64" s="1" t="n">
        <v>46319</v>
      </c>
      <c r="F64" t="inlineStr">
        <is>
          <t>VÄSTRA GÖTALANDS LÄN</t>
        </is>
      </c>
      <c r="G64" t="inlineStr">
        <is>
          <t>MUNKEDAL</t>
        </is>
      </c>
      <c r="I64" t="n">
        <v>3.5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1559-2023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44937</v>
      </c>
      <c r="E65" s="1" t="n">
        <v>46319</v>
      </c>
      <c r="F65" t="inlineStr">
        <is>
          <t>VÄSTRA GÖTALANDS LÄN</t>
        </is>
      </c>
      <c r="G65" t="inlineStr">
        <is>
          <t>MUNKEDAL</t>
        </is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2635-2022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44580</v>
      </c>
      <c r="E66" s="1" t="n">
        <v>46319</v>
      </c>
      <c r="F66" t="inlineStr">
        <is>
          <t>VÄSTRA GÖTALANDS LÄN</t>
        </is>
      </c>
      <c r="G66" t="inlineStr">
        <is>
          <t>MUNKEDAL</t>
        </is>
      </c>
      <c r="I66" t="n">
        <v>2.2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40707-2025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45897</v>
      </c>
      <c r="E67" s="1" t="n">
        <v>46319</v>
      </c>
      <c r="F67" t="inlineStr">
        <is>
          <t>VÄSTRA GÖTALANDS LÄN</t>
        </is>
      </c>
      <c r="G67" t="inlineStr">
        <is>
          <t>MUNKEDAL</t>
        </is>
      </c>
      <c r="I67" t="n">
        <v>0.7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41382-2025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45898</v>
      </c>
      <c r="E68" s="1" t="n">
        <v>46319</v>
      </c>
      <c r="F68" t="inlineStr">
        <is>
          <t>VÄSTRA GÖTALANDS LÄN</t>
        </is>
      </c>
      <c r="G68" t="inlineStr">
        <is>
          <t>MUNKEDAL</t>
        </is>
      </c>
      <c r="I68" t="n">
        <v>4.2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15555-2024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45401</v>
      </c>
      <c r="E69" s="1" t="n">
        <v>46319</v>
      </c>
      <c r="F69" t="inlineStr">
        <is>
          <t>VÄSTRA GÖTALANDS LÄN</t>
        </is>
      </c>
      <c r="G69" t="inlineStr">
        <is>
          <t>MUNKEDAL</t>
        </is>
      </c>
      <c r="I69" t="n">
        <v>1.6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41813-2025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45902</v>
      </c>
      <c r="E70" s="1" t="n">
        <v>46319</v>
      </c>
      <c r="F70" t="inlineStr">
        <is>
          <t>VÄSTRA GÖTALANDS LÄN</t>
        </is>
      </c>
      <c r="G70" t="inlineStr">
        <is>
          <t>MUNKEDAL</t>
        </is>
      </c>
      <c r="I70" t="n">
        <v>7.8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41811-2025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45902</v>
      </c>
      <c r="E71" s="1" t="n">
        <v>46319</v>
      </c>
      <c r="F71" t="inlineStr">
        <is>
          <t>VÄSTRA GÖTALANDS LÄN</t>
        </is>
      </c>
      <c r="G71" t="inlineStr">
        <is>
          <t>MUNKEDAL</t>
        </is>
      </c>
      <c r="I71" t="n">
        <v>5.6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53891-2023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45231</v>
      </c>
      <c r="E72" s="1" t="n">
        <v>46319</v>
      </c>
      <c r="F72" t="inlineStr">
        <is>
          <t>VÄSTRA GÖTALANDS LÄN</t>
        </is>
      </c>
      <c r="G72" t="inlineStr">
        <is>
          <t>MUNKEDAL</t>
        </is>
      </c>
      <c r="I72" t="n">
        <v>1.8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19361-2023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45049</v>
      </c>
      <c r="E73" s="1" t="n">
        <v>46319</v>
      </c>
      <c r="F73" t="inlineStr">
        <is>
          <t>VÄSTRA GÖTALANDS LÄN</t>
        </is>
      </c>
      <c r="G73" t="inlineStr">
        <is>
          <t>MUNKEDAL</t>
        </is>
      </c>
      <c r="I73" t="n">
        <v>4.1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42836-2025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45908</v>
      </c>
      <c r="E74" s="1" t="n">
        <v>46319</v>
      </c>
      <c r="F74" t="inlineStr">
        <is>
          <t>VÄSTRA GÖTALANDS LÄN</t>
        </is>
      </c>
      <c r="G74" t="inlineStr">
        <is>
          <t>MUNKEDAL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42831-2025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45908</v>
      </c>
      <c r="E75" s="1" t="n">
        <v>46319</v>
      </c>
      <c r="F75" t="inlineStr">
        <is>
          <t>VÄSTRA GÖTALANDS LÄN</t>
        </is>
      </c>
      <c r="G75" t="inlineStr">
        <is>
          <t>MUNKEDAL</t>
        </is>
      </c>
      <c r="I75" t="n">
        <v>2.4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58157-2025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45982</v>
      </c>
      <c r="E76" s="1" t="n">
        <v>46319</v>
      </c>
      <c r="F76" t="inlineStr">
        <is>
          <t>VÄSTRA GÖTALANDS LÄN</t>
        </is>
      </c>
      <c r="G76" t="inlineStr">
        <is>
          <t>MUNKEDAL</t>
        </is>
      </c>
      <c r="I76" t="n">
        <v>3.5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29515-2026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46198</v>
      </c>
      <c r="E77" s="1" t="n">
        <v>46319</v>
      </c>
      <c r="F77" t="inlineStr">
        <is>
          <t>VÄSTRA GÖTALANDS LÄN</t>
        </is>
      </c>
      <c r="G77" t="inlineStr">
        <is>
          <t>MUNKEDAL</t>
        </is>
      </c>
      <c r="H77" t="inlineStr">
        <is>
          <t>Övriga statliga verk och myndigheter</t>
        </is>
      </c>
      <c r="I77" t="n">
        <v>2.4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43446-2025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45911</v>
      </c>
      <c r="E78" s="1" t="n">
        <v>46319</v>
      </c>
      <c r="F78" t="inlineStr">
        <is>
          <t>VÄSTRA GÖTALANDS LÄN</t>
        </is>
      </c>
      <c r="G78" t="inlineStr">
        <is>
          <t>MUNKEDAL</t>
        </is>
      </c>
      <c r="I78" t="n">
        <v>1.6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13659-2025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45736</v>
      </c>
      <c r="E79" s="1" t="n">
        <v>46319</v>
      </c>
      <c r="F79" t="inlineStr">
        <is>
          <t>VÄSTRA GÖTALANDS LÄN</t>
        </is>
      </c>
      <c r="G79" t="inlineStr">
        <is>
          <t>MUNKEDAL</t>
        </is>
      </c>
      <c r="H79" t="inlineStr">
        <is>
          <t>Övriga Aktiebolag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43452-2025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45911</v>
      </c>
      <c r="E80" s="1" t="n">
        <v>46319</v>
      </c>
      <c r="F80" t="inlineStr">
        <is>
          <t>VÄSTRA GÖTALANDS LÄN</t>
        </is>
      </c>
      <c r="G80" t="inlineStr">
        <is>
          <t>MUNKEDAL</t>
        </is>
      </c>
      <c r="I80" t="n">
        <v>7.9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43834-2025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45912</v>
      </c>
      <c r="E81" s="1" t="n">
        <v>46319</v>
      </c>
      <c r="F81" t="inlineStr">
        <is>
          <t>VÄSTRA GÖTALANDS LÄN</t>
        </is>
      </c>
      <c r="G81" t="inlineStr">
        <is>
          <t>MUNKEDAL</t>
        </is>
      </c>
      <c r="H81" t="inlineStr">
        <is>
          <t>Övriga Aktiebolag</t>
        </is>
      </c>
      <c r="I81" t="n">
        <v>7.2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22452-2023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45070</v>
      </c>
      <c r="E82" s="1" t="n">
        <v>46319</v>
      </c>
      <c r="F82" t="inlineStr">
        <is>
          <t>VÄSTRA GÖTALANDS LÄN</t>
        </is>
      </c>
      <c r="G82" t="inlineStr">
        <is>
          <t>MUNKEDAL</t>
        </is>
      </c>
      <c r="I82" t="n">
        <v>1.5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44453-2025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45916</v>
      </c>
      <c r="E83" s="1" t="n">
        <v>46319</v>
      </c>
      <c r="F83" t="inlineStr">
        <is>
          <t>VÄSTRA GÖTALANDS LÄN</t>
        </is>
      </c>
      <c r="G83" t="inlineStr">
        <is>
          <t>MUNKEDAL</t>
        </is>
      </c>
      <c r="I83" t="n">
        <v>1.1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44940-2025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45918</v>
      </c>
      <c r="E84" s="1" t="n">
        <v>46319</v>
      </c>
      <c r="F84" t="inlineStr">
        <is>
          <t>VÄSTRA GÖTALANDS LÄN</t>
        </is>
      </c>
      <c r="G84" t="inlineStr">
        <is>
          <t>MUNKEDAL</t>
        </is>
      </c>
      <c r="I84" t="n">
        <v>2.8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45486-2025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45921</v>
      </c>
      <c r="E85" s="1" t="n">
        <v>46319</v>
      </c>
      <c r="F85" t="inlineStr">
        <is>
          <t>VÄSTRA GÖTALANDS LÄN</t>
        </is>
      </c>
      <c r="G85" t="inlineStr">
        <is>
          <t>MUNKEDAL</t>
        </is>
      </c>
      <c r="I85" t="n">
        <v>1.8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5866-2023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44958</v>
      </c>
      <c r="E86" s="1" t="n">
        <v>46319</v>
      </c>
      <c r="F86" t="inlineStr">
        <is>
          <t>VÄSTRA GÖTALANDS LÄN</t>
        </is>
      </c>
      <c r="G86" t="inlineStr">
        <is>
          <t>MUNKEDAL</t>
        </is>
      </c>
      <c r="I86" t="n">
        <v>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23876-2026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46167</v>
      </c>
      <c r="E87" s="1" t="n">
        <v>46319</v>
      </c>
      <c r="F87" t="inlineStr">
        <is>
          <t>VÄSTRA GÖTALANDS LÄN</t>
        </is>
      </c>
      <c r="G87" t="inlineStr">
        <is>
          <t>MUNKEDAL</t>
        </is>
      </c>
      <c r="I87" t="n">
        <v>3.8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24185-2023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45076</v>
      </c>
      <c r="E88" s="1" t="n">
        <v>46319</v>
      </c>
      <c r="F88" t="inlineStr">
        <is>
          <t>VÄSTRA GÖTALANDS LÄN</t>
        </is>
      </c>
      <c r="G88" t="inlineStr">
        <is>
          <t>MUNKEDAL</t>
        </is>
      </c>
      <c r="I88" t="n">
        <v>2.7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54933-2024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45618</v>
      </c>
      <c r="E89" s="1" t="n">
        <v>46319</v>
      </c>
      <c r="F89" t="inlineStr">
        <is>
          <t>VÄSTRA GÖTALANDS LÄN</t>
        </is>
      </c>
      <c r="G89" t="inlineStr">
        <is>
          <t>MUNKEDAL</t>
        </is>
      </c>
      <c r="I89" t="n">
        <v>4.2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23872-2026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46167</v>
      </c>
      <c r="E90" s="1" t="n">
        <v>46319</v>
      </c>
      <c r="F90" t="inlineStr">
        <is>
          <t>VÄSTRA GÖTALANDS LÄN</t>
        </is>
      </c>
      <c r="G90" t="inlineStr">
        <is>
          <t>MUNKEDAL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30456-2023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45111</v>
      </c>
      <c r="E91" s="1" t="n">
        <v>46319</v>
      </c>
      <c r="F91" t="inlineStr">
        <is>
          <t>VÄSTRA GÖTALANDS LÄN</t>
        </is>
      </c>
      <c r="G91" t="inlineStr">
        <is>
          <t>MUNKEDAL</t>
        </is>
      </c>
      <c r="H91" t="inlineStr">
        <is>
          <t>Naturvårdsverket</t>
        </is>
      </c>
      <c r="I91" t="n">
        <v>0.6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30554-2023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45111</v>
      </c>
      <c r="E92" s="1" t="n">
        <v>46319</v>
      </c>
      <c r="F92" t="inlineStr">
        <is>
          <t>VÄSTRA GÖTALANDS LÄN</t>
        </is>
      </c>
      <c r="G92" t="inlineStr">
        <is>
          <t>MUNKEDAL</t>
        </is>
      </c>
      <c r="I92" t="n">
        <v>4.1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62463-2023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45268</v>
      </c>
      <c r="E93" s="1" t="n">
        <v>46319</v>
      </c>
      <c r="F93" t="inlineStr">
        <is>
          <t>VÄSTRA GÖTALANDS LÄN</t>
        </is>
      </c>
      <c r="G93" t="inlineStr">
        <is>
          <t>MUNKEDAL</t>
        </is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42005-2023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45174</v>
      </c>
      <c r="E94" s="1" t="n">
        <v>46319</v>
      </c>
      <c r="F94" t="inlineStr">
        <is>
          <t>VÄSTRA GÖTALANDS LÄN</t>
        </is>
      </c>
      <c r="G94" t="inlineStr">
        <is>
          <t>MUNKEDAL</t>
        </is>
      </c>
      <c r="H94" t="inlineStr">
        <is>
          <t>Kyrkan</t>
        </is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24403-2026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46169</v>
      </c>
      <c r="E95" s="1" t="n">
        <v>46319</v>
      </c>
      <c r="F95" t="inlineStr">
        <is>
          <t>VÄSTRA GÖTALANDS LÄN</t>
        </is>
      </c>
      <c r="G95" t="inlineStr">
        <is>
          <t>MUNKEDAL</t>
        </is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24393-2026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46169</v>
      </c>
      <c r="E96" s="1" t="n">
        <v>46319</v>
      </c>
      <c r="F96" t="inlineStr">
        <is>
          <t>VÄSTRA GÖTALANDS LÄN</t>
        </is>
      </c>
      <c r="G96" t="inlineStr">
        <is>
          <t>MUNKEDAL</t>
        </is>
      </c>
      <c r="I96" t="n">
        <v>0.9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47307-2025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45930</v>
      </c>
      <c r="E97" s="1" t="n">
        <v>46319</v>
      </c>
      <c r="F97" t="inlineStr">
        <is>
          <t>VÄSTRA GÖTALANDS LÄN</t>
        </is>
      </c>
      <c r="G97" t="inlineStr">
        <is>
          <t>MUNKEDAL</t>
        </is>
      </c>
      <c r="I97" t="n">
        <v>3.1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56766-2023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45244</v>
      </c>
      <c r="E98" s="1" t="n">
        <v>46319</v>
      </c>
      <c r="F98" t="inlineStr">
        <is>
          <t>VÄSTRA GÖTALANDS LÄN</t>
        </is>
      </c>
      <c r="G98" t="inlineStr">
        <is>
          <t>MUNKEDAL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53424-2023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45229</v>
      </c>
      <c r="E99" s="1" t="n">
        <v>46319</v>
      </c>
      <c r="F99" t="inlineStr">
        <is>
          <t>VÄSTRA GÖTALANDS LÄN</t>
        </is>
      </c>
      <c r="G99" t="inlineStr">
        <is>
          <t>MUNKEDAL</t>
        </is>
      </c>
      <c r="I99" t="n">
        <v>0.7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57409-2022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44896</v>
      </c>
      <c r="E100" s="1" t="n">
        <v>46319</v>
      </c>
      <c r="F100" t="inlineStr">
        <is>
          <t>VÄSTRA GÖTALANDS LÄN</t>
        </is>
      </c>
      <c r="G100" t="inlineStr">
        <is>
          <t>MUNKEDAL</t>
        </is>
      </c>
      <c r="I100" t="n">
        <v>4.7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53425-2023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45229</v>
      </c>
      <c r="E101" s="1" t="n">
        <v>46319</v>
      </c>
      <c r="F101" t="inlineStr">
        <is>
          <t>VÄSTRA GÖTALANDS LÄN</t>
        </is>
      </c>
      <c r="G101" t="inlineStr">
        <is>
          <t>MUNKEDAL</t>
        </is>
      </c>
      <c r="I101" t="n">
        <v>1.6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28569-2025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45819</v>
      </c>
      <c r="E102" s="1" t="n">
        <v>46319</v>
      </c>
      <c r="F102" t="inlineStr">
        <is>
          <t>VÄSTRA GÖTALANDS LÄN</t>
        </is>
      </c>
      <c r="G102" t="inlineStr">
        <is>
          <t>MUNKEDAL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56744-2023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45244</v>
      </c>
      <c r="E103" s="1" t="n">
        <v>46319</v>
      </c>
      <c r="F103" t="inlineStr">
        <is>
          <t>VÄSTRA GÖTALANDS LÄN</t>
        </is>
      </c>
      <c r="G103" t="inlineStr">
        <is>
          <t>MUNKEDAL</t>
        </is>
      </c>
      <c r="I103" t="n">
        <v>2.5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48754-2025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45936</v>
      </c>
      <c r="E104" s="1" t="n">
        <v>46319</v>
      </c>
      <c r="F104" t="inlineStr">
        <is>
          <t>VÄSTRA GÖTALANDS LÄN</t>
        </is>
      </c>
      <c r="G104" t="inlineStr">
        <is>
          <t>MUNKEDAL</t>
        </is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57613-2024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45630</v>
      </c>
      <c r="E105" s="1" t="n">
        <v>46319</v>
      </c>
      <c r="F105" t="inlineStr">
        <is>
          <t>VÄSTRA GÖTALANDS LÄN</t>
        </is>
      </c>
      <c r="G105" t="inlineStr">
        <is>
          <t>MUNKEDAL</t>
        </is>
      </c>
      <c r="I105" t="n">
        <v>0.5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57619-2024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45630</v>
      </c>
      <c r="E106" s="1" t="n">
        <v>46319</v>
      </c>
      <c r="F106" t="inlineStr">
        <is>
          <t>VÄSTRA GÖTALANDS LÄN</t>
        </is>
      </c>
      <c r="G106" t="inlineStr">
        <is>
          <t>MUNKEDAL</t>
        </is>
      </c>
      <c r="I106" t="n">
        <v>1.3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57625-2024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45630</v>
      </c>
      <c r="E107" s="1" t="n">
        <v>46319</v>
      </c>
      <c r="F107" t="inlineStr">
        <is>
          <t>VÄSTRA GÖTALANDS LÄN</t>
        </is>
      </c>
      <c r="G107" t="inlineStr">
        <is>
          <t>MUNKEDAL</t>
        </is>
      </c>
      <c r="I107" t="n">
        <v>1.1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57630-2024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45630</v>
      </c>
      <c r="E108" s="1" t="n">
        <v>46319</v>
      </c>
      <c r="F108" t="inlineStr">
        <is>
          <t>VÄSTRA GÖTALANDS LÄN</t>
        </is>
      </c>
      <c r="G108" t="inlineStr">
        <is>
          <t>MUNKEDAL</t>
        </is>
      </c>
      <c r="I108" t="n">
        <v>2.1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16621-2022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44672</v>
      </c>
      <c r="E109" s="1" t="n">
        <v>46319</v>
      </c>
      <c r="F109" t="inlineStr">
        <is>
          <t>VÄSTRA GÖTALANDS LÄN</t>
        </is>
      </c>
      <c r="G109" t="inlineStr">
        <is>
          <t>MUNKEDAL</t>
        </is>
      </c>
      <c r="I109" t="n">
        <v>2.1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59132-2022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44904</v>
      </c>
      <c r="E110" s="1" t="n">
        <v>46319</v>
      </c>
      <c r="F110" t="inlineStr">
        <is>
          <t>VÄSTRA GÖTALANDS LÄN</t>
        </is>
      </c>
      <c r="G110" t="inlineStr">
        <is>
          <t>MUNKEDAL</t>
        </is>
      </c>
      <c r="I110" t="n">
        <v>0.9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28559-2025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45819</v>
      </c>
      <c r="E111" s="1" t="n">
        <v>46319</v>
      </c>
      <c r="F111" t="inlineStr">
        <is>
          <t>VÄSTRA GÖTALANDS LÄN</t>
        </is>
      </c>
      <c r="G111" t="inlineStr">
        <is>
          <t>MUNKEDAL</t>
        </is>
      </c>
      <c r="I111" t="n">
        <v>0.7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53412-2023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45229</v>
      </c>
      <c r="E112" s="1" t="n">
        <v>46319</v>
      </c>
      <c r="F112" t="inlineStr">
        <is>
          <t>VÄSTRA GÖTALANDS LÄN</t>
        </is>
      </c>
      <c r="G112" t="inlineStr">
        <is>
          <t>MUNKEDAL</t>
        </is>
      </c>
      <c r="I112" t="n">
        <v>2.4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3611-2023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44946</v>
      </c>
      <c r="E113" s="1" t="n">
        <v>46319</v>
      </c>
      <c r="F113" t="inlineStr">
        <is>
          <t>VÄSTRA GÖTALANDS LÄN</t>
        </is>
      </c>
      <c r="G113" t="inlineStr">
        <is>
          <t>MUNKEDAL</t>
        </is>
      </c>
      <c r="H113" t="inlineStr">
        <is>
          <t>Övriga Aktiebolag</t>
        </is>
      </c>
      <c r="I113" t="n">
        <v>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61695-2023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45261</v>
      </c>
      <c r="E114" s="1" t="n">
        <v>46319</v>
      </c>
      <c r="F114" t="inlineStr">
        <is>
          <t>VÄSTRA GÖTALANDS LÄN</t>
        </is>
      </c>
      <c r="G114" t="inlineStr">
        <is>
          <t>MUNKEDAL</t>
        </is>
      </c>
      <c r="H114" t="inlineStr">
        <is>
          <t>Övriga Aktiebolag</t>
        </is>
      </c>
      <c r="I114" t="n">
        <v>1.6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28393-2022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44747</v>
      </c>
      <c r="E115" s="1" t="n">
        <v>46319</v>
      </c>
      <c r="F115" t="inlineStr">
        <is>
          <t>VÄSTRA GÖTALANDS LÄN</t>
        </is>
      </c>
      <c r="G115" t="inlineStr">
        <is>
          <t>MUNKEDAL</t>
        </is>
      </c>
      <c r="I115" t="n">
        <v>9.800000000000001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49731-2025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45939</v>
      </c>
      <c r="E116" s="1" t="n">
        <v>46319</v>
      </c>
      <c r="F116" t="inlineStr">
        <is>
          <t>VÄSTRA GÖTALANDS LÄN</t>
        </is>
      </c>
      <c r="G116" t="inlineStr">
        <is>
          <t>MUNKEDAL</t>
        </is>
      </c>
      <c r="I116" t="n">
        <v>5.5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29959-2024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45488</v>
      </c>
      <c r="E117" s="1" t="n">
        <v>46319</v>
      </c>
      <c r="F117" t="inlineStr">
        <is>
          <t>VÄSTRA GÖTALANDS LÄN</t>
        </is>
      </c>
      <c r="G117" t="inlineStr">
        <is>
          <t>MUNKEDAL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24608-2026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46171</v>
      </c>
      <c r="E118" s="1" t="n">
        <v>46319</v>
      </c>
      <c r="F118" t="inlineStr">
        <is>
          <t>VÄSTRA GÖTALANDS LÄN</t>
        </is>
      </c>
      <c r="G118" t="inlineStr">
        <is>
          <t>MUNKEDAL</t>
        </is>
      </c>
      <c r="I118" t="n">
        <v>4.9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3708-2024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45321</v>
      </c>
      <c r="E119" s="1" t="n">
        <v>46319</v>
      </c>
      <c r="F119" t="inlineStr">
        <is>
          <t>VÄSTRA GÖTALANDS LÄN</t>
        </is>
      </c>
      <c r="G119" t="inlineStr">
        <is>
          <t>MUNKEDAL</t>
        </is>
      </c>
      <c r="I119" t="n">
        <v>20.2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14339-2024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45393</v>
      </c>
      <c r="E120" s="1" t="n">
        <v>46319</v>
      </c>
      <c r="F120" t="inlineStr">
        <is>
          <t>VÄSTRA GÖTALANDS LÄN</t>
        </is>
      </c>
      <c r="G120" t="inlineStr">
        <is>
          <t>MUNKEDAL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3312-2024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45317</v>
      </c>
      <c r="E121" s="1" t="n">
        <v>46319</v>
      </c>
      <c r="F121" t="inlineStr">
        <is>
          <t>VÄSTRA GÖTALANDS LÄN</t>
        </is>
      </c>
      <c r="G121" t="inlineStr">
        <is>
          <t>MUNKEDAL</t>
        </is>
      </c>
      <c r="I121" t="n">
        <v>2.3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447-2024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45296</v>
      </c>
      <c r="E122" s="1" t="n">
        <v>46319</v>
      </c>
      <c r="F122" t="inlineStr">
        <is>
          <t>VÄSTRA GÖTALANDS LÄN</t>
        </is>
      </c>
      <c r="G122" t="inlineStr">
        <is>
          <t>MUNKEDAL</t>
        </is>
      </c>
      <c r="H122" t="inlineStr">
        <is>
          <t>Kyrkan</t>
        </is>
      </c>
      <c r="I122" t="n">
        <v>4.8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17136-2025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45755</v>
      </c>
      <c r="E123" s="1" t="n">
        <v>46319</v>
      </c>
      <c r="F123" t="inlineStr">
        <is>
          <t>VÄSTRA GÖTALANDS LÄN</t>
        </is>
      </c>
      <c r="G123" t="inlineStr">
        <is>
          <t>MUNKEDAL</t>
        </is>
      </c>
      <c r="H123" t="inlineStr">
        <is>
          <t>Övriga Aktiebolag</t>
        </is>
      </c>
      <c r="I123" t="n">
        <v>5.2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24088-2024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45456</v>
      </c>
      <c r="E124" s="1" t="n">
        <v>46319</v>
      </c>
      <c r="F124" t="inlineStr">
        <is>
          <t>VÄSTRA GÖTALANDS LÄN</t>
        </is>
      </c>
      <c r="G124" t="inlineStr">
        <is>
          <t>MUNKEDAL</t>
        </is>
      </c>
      <c r="I124" t="n">
        <v>1.4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28678-2024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45478</v>
      </c>
      <c r="E125" s="1" t="n">
        <v>46319</v>
      </c>
      <c r="F125" t="inlineStr">
        <is>
          <t>VÄSTRA GÖTALANDS LÄN</t>
        </is>
      </c>
      <c r="G125" t="inlineStr">
        <is>
          <t>MUNKEDAL</t>
        </is>
      </c>
      <c r="I125" t="n">
        <v>8.4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9021-2024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45356</v>
      </c>
      <c r="E126" s="1" t="n">
        <v>46319</v>
      </c>
      <c r="F126" t="inlineStr">
        <is>
          <t>VÄSTRA GÖTALANDS LÄN</t>
        </is>
      </c>
      <c r="G126" t="inlineStr">
        <is>
          <t>MUNKEDAL</t>
        </is>
      </c>
      <c r="H126" t="inlineStr">
        <is>
          <t>Övriga Aktiebolag</t>
        </is>
      </c>
      <c r="I126" t="n">
        <v>0.7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38164-2022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44812</v>
      </c>
      <c r="E127" s="1" t="n">
        <v>46319</v>
      </c>
      <c r="F127" t="inlineStr">
        <is>
          <t>VÄSTRA GÖTALANDS LÄN</t>
        </is>
      </c>
      <c r="G127" t="inlineStr">
        <is>
          <t>MUNKEDAL</t>
        </is>
      </c>
      <c r="I127" t="n">
        <v>2.8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29969-2024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45488</v>
      </c>
      <c r="E128" s="1" t="n">
        <v>46319</v>
      </c>
      <c r="F128" t="inlineStr">
        <is>
          <t>VÄSTRA GÖTALANDS LÄN</t>
        </is>
      </c>
      <c r="G128" t="inlineStr">
        <is>
          <t>MUNKEDAL</t>
        </is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37389-2024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45540</v>
      </c>
      <c r="E129" s="1" t="n">
        <v>46319</v>
      </c>
      <c r="F129" t="inlineStr">
        <is>
          <t>VÄSTRA GÖTALANDS LÄN</t>
        </is>
      </c>
      <c r="G129" t="inlineStr">
        <is>
          <t>MUNKEDAL</t>
        </is>
      </c>
      <c r="H129" t="inlineStr">
        <is>
          <t>Övriga Aktiebolag</t>
        </is>
      </c>
      <c r="I129" t="n">
        <v>0.8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52115-2025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45952</v>
      </c>
      <c r="E130" s="1" t="n">
        <v>46319</v>
      </c>
      <c r="F130" t="inlineStr">
        <is>
          <t>VÄSTRA GÖTALANDS LÄN</t>
        </is>
      </c>
      <c r="G130" t="inlineStr">
        <is>
          <t>MUNKEDAL</t>
        </is>
      </c>
      <c r="I130" t="n">
        <v>1.2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18159-2025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45761</v>
      </c>
      <c r="E131" s="1" t="n">
        <v>46319</v>
      </c>
      <c r="F131" t="inlineStr">
        <is>
          <t>VÄSTRA GÖTALANDS LÄN</t>
        </is>
      </c>
      <c r="G131" t="inlineStr">
        <is>
          <t>MUNKEDAL</t>
        </is>
      </c>
      <c r="I131" t="n">
        <v>5.2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32300-2023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45120</v>
      </c>
      <c r="E132" s="1" t="n">
        <v>46319</v>
      </c>
      <c r="F132" t="inlineStr">
        <is>
          <t>VÄSTRA GÖTALANDS LÄN</t>
        </is>
      </c>
      <c r="G132" t="inlineStr">
        <is>
          <t>MUNKEDAL</t>
        </is>
      </c>
      <c r="I132" t="n">
        <v>2.3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1559-2025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45667</v>
      </c>
      <c r="E133" s="1" t="n">
        <v>46319</v>
      </c>
      <c r="F133" t="inlineStr">
        <is>
          <t>VÄSTRA GÖTALANDS LÄN</t>
        </is>
      </c>
      <c r="G133" t="inlineStr">
        <is>
          <t>MUNKEDAL</t>
        </is>
      </c>
      <c r="H133" t="inlineStr">
        <is>
          <t>Övriga Aktiebolag</t>
        </is>
      </c>
      <c r="I133" t="n">
        <v>4.5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27532-2026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46189</v>
      </c>
      <c r="E134" s="1" t="n">
        <v>46319</v>
      </c>
      <c r="F134" t="inlineStr">
        <is>
          <t>VÄSTRA GÖTALANDS LÄN</t>
        </is>
      </c>
      <c r="G134" t="inlineStr">
        <is>
          <t>MUNKEDAL</t>
        </is>
      </c>
      <c r="I134" t="n">
        <v>0.9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27255-2026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46188</v>
      </c>
      <c r="E135" s="1" t="n">
        <v>46319</v>
      </c>
      <c r="F135" t="inlineStr">
        <is>
          <t>VÄSTRA GÖTALANDS LÄN</t>
        </is>
      </c>
      <c r="G135" t="inlineStr">
        <is>
          <t>MUNKEDAL</t>
        </is>
      </c>
      <c r="I135" t="n">
        <v>1.9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11525-2023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44993</v>
      </c>
      <c r="E136" s="1" t="n">
        <v>46319</v>
      </c>
      <c r="F136" t="inlineStr">
        <is>
          <t>VÄSTRA GÖTALANDS LÄN</t>
        </is>
      </c>
      <c r="G136" t="inlineStr">
        <is>
          <t>MUNKEDAL</t>
        </is>
      </c>
      <c r="I136" t="n">
        <v>3.6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21625-2023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45063</v>
      </c>
      <c r="E137" s="1" t="n">
        <v>46319</v>
      </c>
      <c r="F137" t="inlineStr">
        <is>
          <t>VÄSTRA GÖTALANDS LÄN</t>
        </is>
      </c>
      <c r="G137" t="inlineStr">
        <is>
          <t>MUNKEDAL</t>
        </is>
      </c>
      <c r="I137" t="n">
        <v>1.7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11425-2022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44630</v>
      </c>
      <c r="E138" s="1" t="n">
        <v>46319</v>
      </c>
      <c r="F138" t="inlineStr">
        <is>
          <t>VÄSTRA GÖTALANDS LÄN</t>
        </is>
      </c>
      <c r="G138" t="inlineStr">
        <is>
          <t>MUNKEDAL</t>
        </is>
      </c>
      <c r="I138" t="n">
        <v>1.5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30002-2026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46202</v>
      </c>
      <c r="E139" s="1" t="n">
        <v>46319</v>
      </c>
      <c r="F139" t="inlineStr">
        <is>
          <t>VÄSTRA GÖTALANDS LÄN</t>
        </is>
      </c>
      <c r="G139" t="inlineStr">
        <is>
          <t>MUNKEDAL</t>
        </is>
      </c>
      <c r="H139" t="inlineStr">
        <is>
          <t>Övriga Aktiebolag</t>
        </is>
      </c>
      <c r="I139" t="n">
        <v>4.2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55183-2024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45620</v>
      </c>
      <c r="E140" s="1" t="n">
        <v>46319</v>
      </c>
      <c r="F140" t="inlineStr">
        <is>
          <t>VÄSTRA GÖTALANDS LÄN</t>
        </is>
      </c>
      <c r="G140" t="inlineStr">
        <is>
          <t>MUNKEDAL</t>
        </is>
      </c>
      <c r="I140" t="n">
        <v>8.699999999999999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57739-2025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45981</v>
      </c>
      <c r="E141" s="1" t="n">
        <v>46319</v>
      </c>
      <c r="F141" t="inlineStr">
        <is>
          <t>VÄSTRA GÖTALANDS LÄN</t>
        </is>
      </c>
      <c r="G141" t="inlineStr">
        <is>
          <t>MUNKEDAL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29451-2026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46203</v>
      </c>
      <c r="E142" s="1" t="n">
        <v>46319</v>
      </c>
      <c r="F142" t="inlineStr">
        <is>
          <t>VÄSTRA GÖTALANDS LÄN</t>
        </is>
      </c>
      <c r="G142" t="inlineStr">
        <is>
          <t>MUNKEDAL</t>
        </is>
      </c>
      <c r="I142" t="n">
        <v>2.3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2560-2025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45674</v>
      </c>
      <c r="E143" s="1" t="n">
        <v>46319</v>
      </c>
      <c r="F143" t="inlineStr">
        <is>
          <t>VÄSTRA GÖTALANDS LÄN</t>
        </is>
      </c>
      <c r="G143" t="inlineStr">
        <is>
          <t>MUNKEDAL</t>
        </is>
      </c>
      <c r="I143" t="n">
        <v>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54760-2024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45618</v>
      </c>
      <c r="E144" s="1" t="n">
        <v>46319</v>
      </c>
      <c r="F144" t="inlineStr">
        <is>
          <t>VÄSTRA GÖTALANDS LÄN</t>
        </is>
      </c>
      <c r="G144" t="inlineStr">
        <is>
          <t>MUNKEDAL</t>
        </is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58515-2025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45985</v>
      </c>
      <c r="E145" s="1" t="n">
        <v>46319</v>
      </c>
      <c r="F145" t="inlineStr">
        <is>
          <t>VÄSTRA GÖTALANDS LÄN</t>
        </is>
      </c>
      <c r="G145" t="inlineStr">
        <is>
          <t>MUNKEDAL</t>
        </is>
      </c>
      <c r="I145" t="n">
        <v>3.8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62098-2022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44920</v>
      </c>
      <c r="E146" s="1" t="n">
        <v>46319</v>
      </c>
      <c r="F146" t="inlineStr">
        <is>
          <t>VÄSTRA GÖTALANDS LÄN</t>
        </is>
      </c>
      <c r="G146" t="inlineStr">
        <is>
          <t>MUNKEDAL</t>
        </is>
      </c>
      <c r="I146" t="n">
        <v>2.2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62101-2022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44920</v>
      </c>
      <c r="E147" s="1" t="n">
        <v>46319</v>
      </c>
      <c r="F147" t="inlineStr">
        <is>
          <t>VÄSTRA GÖTALANDS LÄN</t>
        </is>
      </c>
      <c r="G147" t="inlineStr">
        <is>
          <t>MUNKEDAL</t>
        </is>
      </c>
      <c r="I147" t="n">
        <v>2.6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26835-2026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46185</v>
      </c>
      <c r="E148" s="1" t="n">
        <v>46319</v>
      </c>
      <c r="F148" t="inlineStr">
        <is>
          <t>VÄSTRA GÖTALANDS LÄN</t>
        </is>
      </c>
      <c r="G148" t="inlineStr">
        <is>
          <t>MUNKEDAL</t>
        </is>
      </c>
      <c r="I148" t="n">
        <v>1.7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55438-2025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45971</v>
      </c>
      <c r="E149" s="1" t="n">
        <v>46319</v>
      </c>
      <c r="F149" t="inlineStr">
        <is>
          <t>VÄSTRA GÖTALANDS LÄN</t>
        </is>
      </c>
      <c r="G149" t="inlineStr">
        <is>
          <t>MUNKEDAL</t>
        </is>
      </c>
      <c r="I149" t="n">
        <v>16.3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58711-2025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45986</v>
      </c>
      <c r="E150" s="1" t="n">
        <v>46319</v>
      </c>
      <c r="F150" t="inlineStr">
        <is>
          <t>VÄSTRA GÖTALANDS LÄN</t>
        </is>
      </c>
      <c r="G150" t="inlineStr">
        <is>
          <t>MUNKEDAL</t>
        </is>
      </c>
      <c r="I150" t="n">
        <v>5.2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31164-2026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46209</v>
      </c>
      <c r="E151" s="1" t="n">
        <v>46319</v>
      </c>
      <c r="F151" t="inlineStr">
        <is>
          <t>VÄSTRA GÖTALANDS LÄN</t>
        </is>
      </c>
      <c r="G151" t="inlineStr">
        <is>
          <t>MUNKEDAL</t>
        </is>
      </c>
      <c r="H151" t="inlineStr">
        <is>
          <t>Övriga Aktiebolag</t>
        </is>
      </c>
      <c r="I151" t="n">
        <v>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31165-2026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46209</v>
      </c>
      <c r="E152" s="1" t="n">
        <v>46319</v>
      </c>
      <c r="F152" t="inlineStr">
        <is>
          <t>VÄSTRA GÖTALANDS LÄN</t>
        </is>
      </c>
      <c r="G152" t="inlineStr">
        <is>
          <t>MUNKEDAL</t>
        </is>
      </c>
      <c r="H152" t="inlineStr">
        <is>
          <t>Övriga Aktiebolag</t>
        </is>
      </c>
      <c r="I152" t="n">
        <v>4.3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31166-2026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46209</v>
      </c>
      <c r="E153" s="1" t="n">
        <v>46319</v>
      </c>
      <c r="F153" t="inlineStr">
        <is>
          <t>VÄSTRA GÖTALANDS LÄN</t>
        </is>
      </c>
      <c r="G153" t="inlineStr">
        <is>
          <t>MUNKEDAL</t>
        </is>
      </c>
      <c r="H153" t="inlineStr">
        <is>
          <t>Övriga Aktiebolag</t>
        </is>
      </c>
      <c r="I153" t="n">
        <v>16.7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31167-2026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46209</v>
      </c>
      <c r="E154" s="1" t="n">
        <v>46319</v>
      </c>
      <c r="F154" t="inlineStr">
        <is>
          <t>VÄSTRA GÖTALANDS LÄN</t>
        </is>
      </c>
      <c r="G154" t="inlineStr">
        <is>
          <t>MUNKEDAL</t>
        </is>
      </c>
      <c r="H154" t="inlineStr">
        <is>
          <t>Övriga Aktiebolag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59099-2025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45988</v>
      </c>
      <c r="E155" s="1" t="n">
        <v>46319</v>
      </c>
      <c r="F155" t="inlineStr">
        <is>
          <t>VÄSTRA GÖTALANDS LÄN</t>
        </is>
      </c>
      <c r="G155" t="inlineStr">
        <is>
          <t>MUNKEDAL</t>
        </is>
      </c>
      <c r="I155" t="n">
        <v>3.3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17678-2024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45418</v>
      </c>
      <c r="E156" s="1" t="n">
        <v>46319</v>
      </c>
      <c r="F156" t="inlineStr">
        <is>
          <t>VÄSTRA GÖTALANDS LÄN</t>
        </is>
      </c>
      <c r="G156" t="inlineStr">
        <is>
          <t>MUNKEDAL</t>
        </is>
      </c>
      <c r="I156" t="n">
        <v>1.4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1576-2024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45306</v>
      </c>
      <c r="E157" s="1" t="n">
        <v>46319</v>
      </c>
      <c r="F157" t="inlineStr">
        <is>
          <t>VÄSTRA GÖTALANDS LÄN</t>
        </is>
      </c>
      <c r="G157" t="inlineStr">
        <is>
          <t>MUNKEDAL</t>
        </is>
      </c>
      <c r="I157" t="n">
        <v>25.2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4029-2025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45684</v>
      </c>
      <c r="E158" s="1" t="n">
        <v>46319</v>
      </c>
      <c r="F158" t="inlineStr">
        <is>
          <t>VÄSTRA GÖTALANDS LÄN</t>
        </is>
      </c>
      <c r="G158" t="inlineStr">
        <is>
          <t>MUNKEDAL</t>
        </is>
      </c>
      <c r="H158" t="inlineStr">
        <is>
          <t>Kommuner</t>
        </is>
      </c>
      <c r="I158" t="n">
        <v>0.4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53888-2023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45231</v>
      </c>
      <c r="E159" s="1" t="n">
        <v>46319</v>
      </c>
      <c r="F159" t="inlineStr">
        <is>
          <t>VÄSTRA GÖTALANDS LÄN</t>
        </is>
      </c>
      <c r="G159" t="inlineStr">
        <is>
          <t>MUNKEDAL</t>
        </is>
      </c>
      <c r="I159" t="n">
        <v>2.6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27644-2023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45097</v>
      </c>
      <c r="E160" s="1" t="n">
        <v>46319</v>
      </c>
      <c r="F160" t="inlineStr">
        <is>
          <t>VÄSTRA GÖTALANDS LÄN</t>
        </is>
      </c>
      <c r="G160" t="inlineStr">
        <is>
          <t>MUNKEDAL</t>
        </is>
      </c>
      <c r="I160" t="n">
        <v>2.9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31247-2026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46217</v>
      </c>
      <c r="E161" s="1" t="n">
        <v>46319</v>
      </c>
      <c r="F161" t="inlineStr">
        <is>
          <t>VÄSTRA GÖTALANDS LÄN</t>
        </is>
      </c>
      <c r="G161" t="inlineStr">
        <is>
          <t>MUNKEDAL</t>
        </is>
      </c>
      <c r="I161" t="n">
        <v>9.1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31243-2026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46217</v>
      </c>
      <c r="E162" s="1" t="n">
        <v>46319</v>
      </c>
      <c r="F162" t="inlineStr">
        <is>
          <t>VÄSTRA GÖTALANDS LÄN</t>
        </is>
      </c>
      <c r="G162" t="inlineStr">
        <is>
          <t>MUNKEDAL</t>
        </is>
      </c>
      <c r="I162" t="n">
        <v>0.8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61377-2023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45264</v>
      </c>
      <c r="E163" s="1" t="n">
        <v>46319</v>
      </c>
      <c r="F163" t="inlineStr">
        <is>
          <t>VÄSTRA GÖTALANDS LÄN</t>
        </is>
      </c>
      <c r="G163" t="inlineStr">
        <is>
          <t>MUNKEDAL</t>
        </is>
      </c>
      <c r="I163" t="n">
        <v>4.3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50034-2023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45215</v>
      </c>
      <c r="E164" s="1" t="n">
        <v>46319</v>
      </c>
      <c r="F164" t="inlineStr">
        <is>
          <t>VÄSTRA GÖTALANDS LÄN</t>
        </is>
      </c>
      <c r="G164" t="inlineStr">
        <is>
          <t>MUNKEDAL</t>
        </is>
      </c>
      <c r="I164" t="n">
        <v>2.1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1553-2025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45667</v>
      </c>
      <c r="E165" s="1" t="n">
        <v>46319</v>
      </c>
      <c r="F165" t="inlineStr">
        <is>
          <t>VÄSTRA GÖTALANDS LÄN</t>
        </is>
      </c>
      <c r="G165" t="inlineStr">
        <is>
          <t>MUNKEDAL</t>
        </is>
      </c>
      <c r="H165" t="inlineStr">
        <is>
          <t>Övriga Aktiebolag</t>
        </is>
      </c>
      <c r="I165" t="n">
        <v>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61392-2025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46000</v>
      </c>
      <c r="E166" s="1" t="n">
        <v>46319</v>
      </c>
      <c r="F166" t="inlineStr">
        <is>
          <t>VÄSTRA GÖTALANDS LÄN</t>
        </is>
      </c>
      <c r="G166" t="inlineStr">
        <is>
          <t>MUNKEDAL</t>
        </is>
      </c>
      <c r="H166" t="inlineStr">
        <is>
          <t>Övriga Aktiebolag</t>
        </is>
      </c>
      <c r="I166" t="n">
        <v>1.3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20251-2022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44698</v>
      </c>
      <c r="E167" s="1" t="n">
        <v>46319</v>
      </c>
      <c r="F167" t="inlineStr">
        <is>
          <t>VÄSTRA GÖTALANDS LÄN</t>
        </is>
      </c>
      <c r="G167" t="inlineStr">
        <is>
          <t>MUNKEDAL</t>
        </is>
      </c>
      <c r="I167" t="n">
        <v>0.7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61268-2025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46000</v>
      </c>
      <c r="E168" s="1" t="n">
        <v>46319</v>
      </c>
      <c r="F168" t="inlineStr">
        <is>
          <t>VÄSTRA GÖTALANDS LÄN</t>
        </is>
      </c>
      <c r="G168" t="inlineStr">
        <is>
          <t>MUNKEDAL</t>
        </is>
      </c>
      <c r="I168" t="n">
        <v>17.5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61247-2025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46000</v>
      </c>
      <c r="E169" s="1" t="n">
        <v>46319</v>
      </c>
      <c r="F169" t="inlineStr">
        <is>
          <t>VÄSTRA GÖTALANDS LÄN</t>
        </is>
      </c>
      <c r="G169" t="inlineStr">
        <is>
          <t>MUNKEDAL</t>
        </is>
      </c>
      <c r="I169" t="n">
        <v>4.8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61276-2025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46000</v>
      </c>
      <c r="E170" s="1" t="n">
        <v>46319</v>
      </c>
      <c r="F170" t="inlineStr">
        <is>
          <t>VÄSTRA GÖTALANDS LÄN</t>
        </is>
      </c>
      <c r="G170" t="inlineStr">
        <is>
          <t>MUNKEDAL</t>
        </is>
      </c>
      <c r="I170" t="n">
        <v>1.8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21063-2025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45777</v>
      </c>
      <c r="E171" s="1" t="n">
        <v>46319</v>
      </c>
      <c r="F171" t="inlineStr">
        <is>
          <t>VÄSTRA GÖTALANDS LÄN</t>
        </is>
      </c>
      <c r="G171" t="inlineStr">
        <is>
          <t>MUNKEDAL</t>
        </is>
      </c>
      <c r="I171" t="n">
        <v>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53255-2024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45614</v>
      </c>
      <c r="E172" s="1" t="n">
        <v>46319</v>
      </c>
      <c r="F172" t="inlineStr">
        <is>
          <t>VÄSTRA GÖTALANDS LÄN</t>
        </is>
      </c>
      <c r="G172" t="inlineStr">
        <is>
          <t>MUNKEDAL</t>
        </is>
      </c>
      <c r="I172" t="n">
        <v>5.2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61804-2025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46002</v>
      </c>
      <c r="E173" s="1" t="n">
        <v>46319</v>
      </c>
      <c r="F173" t="inlineStr">
        <is>
          <t>VÄSTRA GÖTALANDS LÄN</t>
        </is>
      </c>
      <c r="G173" t="inlineStr">
        <is>
          <t>MUNKEDAL</t>
        </is>
      </c>
      <c r="H173" t="inlineStr">
        <is>
          <t>Övriga Aktiebolag</t>
        </is>
      </c>
      <c r="I173" t="n">
        <v>19.1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21135-2025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45778</v>
      </c>
      <c r="E174" s="1" t="n">
        <v>46319</v>
      </c>
      <c r="F174" t="inlineStr">
        <is>
          <t>VÄSTRA GÖTALANDS LÄN</t>
        </is>
      </c>
      <c r="G174" t="inlineStr">
        <is>
          <t>MUNKEDAL</t>
        </is>
      </c>
      <c r="I174" t="n">
        <v>1.8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21086-2025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45777</v>
      </c>
      <c r="E175" s="1" t="n">
        <v>46319</v>
      </c>
      <c r="F175" t="inlineStr">
        <is>
          <t>VÄSTRA GÖTALANDS LÄN</t>
        </is>
      </c>
      <c r="G175" t="inlineStr">
        <is>
          <t>MUNKEDAL</t>
        </is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61997-2025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46003</v>
      </c>
      <c r="E176" s="1" t="n">
        <v>46319</v>
      </c>
      <c r="F176" t="inlineStr">
        <is>
          <t>VÄSTRA GÖTALANDS LÄN</t>
        </is>
      </c>
      <c r="G176" t="inlineStr">
        <is>
          <t>MUNKEDAL</t>
        </is>
      </c>
      <c r="I176" t="n">
        <v>8.9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21981-2025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45784</v>
      </c>
      <c r="E177" s="1" t="n">
        <v>46319</v>
      </c>
      <c r="F177" t="inlineStr">
        <is>
          <t>VÄSTRA GÖTALANDS LÄN</t>
        </is>
      </c>
      <c r="G177" t="inlineStr">
        <is>
          <t>MUNKEDAL</t>
        </is>
      </c>
      <c r="I177" t="n">
        <v>2.5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21984-2025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45784</v>
      </c>
      <c r="E178" s="1" t="n">
        <v>46319</v>
      </c>
      <c r="F178" t="inlineStr">
        <is>
          <t>VÄSTRA GÖTALANDS LÄN</t>
        </is>
      </c>
      <c r="G178" t="inlineStr">
        <is>
          <t>MUNKEDAL</t>
        </is>
      </c>
      <c r="I178" t="n">
        <v>1.4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62500-2025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46007</v>
      </c>
      <c r="E179" s="1" t="n">
        <v>46319</v>
      </c>
      <c r="F179" t="inlineStr">
        <is>
          <t>VÄSTRA GÖTALANDS LÄN</t>
        </is>
      </c>
      <c r="G179" t="inlineStr">
        <is>
          <t>MUNKEDAL</t>
        </is>
      </c>
      <c r="I179" t="n">
        <v>1.1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37714-2026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46279</v>
      </c>
      <c r="E180" s="1" t="n">
        <v>46319</v>
      </c>
      <c r="F180" t="inlineStr">
        <is>
          <t>VÄSTRA GÖTALANDS LÄN</t>
        </is>
      </c>
      <c r="G180" t="inlineStr">
        <is>
          <t>MUNKEDAL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64132-2025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46013</v>
      </c>
      <c r="E181" s="1" t="n">
        <v>46319</v>
      </c>
      <c r="F181" t="inlineStr">
        <is>
          <t>VÄSTRA GÖTALANDS LÄN</t>
        </is>
      </c>
      <c r="G181" t="inlineStr">
        <is>
          <t>MUNKEDAL</t>
        </is>
      </c>
      <c r="H181" t="inlineStr">
        <is>
          <t>Övriga Aktiebolag</t>
        </is>
      </c>
      <c r="I181" t="n">
        <v>11.6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64147-2025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46022</v>
      </c>
      <c r="E182" s="1" t="n">
        <v>46319</v>
      </c>
      <c r="F182" t="inlineStr">
        <is>
          <t>VÄSTRA GÖTALANDS LÄN</t>
        </is>
      </c>
      <c r="G182" t="inlineStr">
        <is>
          <t>MUNKEDAL</t>
        </is>
      </c>
      <c r="I182" t="n">
        <v>2.5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64146-2025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46022</v>
      </c>
      <c r="E183" s="1" t="n">
        <v>46319</v>
      </c>
      <c r="F183" t="inlineStr">
        <is>
          <t>VÄSTRA GÖTALANDS LÄN</t>
        </is>
      </c>
      <c r="G183" t="inlineStr">
        <is>
          <t>MUNKEDAL</t>
        </is>
      </c>
      <c r="I183" t="n">
        <v>1.7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32538-2026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46239</v>
      </c>
      <c r="E184" s="1" t="n">
        <v>46319</v>
      </c>
      <c r="F184" t="inlineStr">
        <is>
          <t>VÄSTRA GÖTALANDS LÄN</t>
        </is>
      </c>
      <c r="G184" t="inlineStr">
        <is>
          <t>MUNKEDAL</t>
        </is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1204-2026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46030</v>
      </c>
      <c r="E185" s="1" t="n">
        <v>46319</v>
      </c>
      <c r="F185" t="inlineStr">
        <is>
          <t>VÄSTRA GÖTALANDS LÄN</t>
        </is>
      </c>
      <c r="G185" t="inlineStr">
        <is>
          <t>MUNKEDAL</t>
        </is>
      </c>
      <c r="H185" t="inlineStr">
        <is>
          <t>Övriga Aktiebolag</t>
        </is>
      </c>
      <c r="I185" t="n">
        <v>1.2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38781-2026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46286</v>
      </c>
      <c r="E186" s="1" t="n">
        <v>46319</v>
      </c>
      <c r="F186" t="inlineStr">
        <is>
          <t>VÄSTRA GÖTALANDS LÄN</t>
        </is>
      </c>
      <c r="G186" t="inlineStr">
        <is>
          <t>MUNKEDAL</t>
        </is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14327-2025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45740</v>
      </c>
      <c r="E187" s="1" t="n">
        <v>46319</v>
      </c>
      <c r="F187" t="inlineStr">
        <is>
          <t>VÄSTRA GÖTALANDS LÄN</t>
        </is>
      </c>
      <c r="G187" t="inlineStr">
        <is>
          <t>MUNKEDAL</t>
        </is>
      </c>
      <c r="I187" t="n">
        <v>12.7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16650-2024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45408</v>
      </c>
      <c r="E188" s="1" t="n">
        <v>46319</v>
      </c>
      <c r="F188" t="inlineStr">
        <is>
          <t>VÄSTRA GÖTALANDS LÄN</t>
        </is>
      </c>
      <c r="G188" t="inlineStr">
        <is>
          <t>MUNKEDAL</t>
        </is>
      </c>
      <c r="I188" t="n">
        <v>1.2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10228-2025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45720</v>
      </c>
      <c r="E189" s="1" t="n">
        <v>46319</v>
      </c>
      <c r="F189" t="inlineStr">
        <is>
          <t>VÄSTRA GÖTALANDS LÄN</t>
        </is>
      </c>
      <c r="G189" t="inlineStr">
        <is>
          <t>MUNKEDAL</t>
        </is>
      </c>
      <c r="I189" t="n">
        <v>1.2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10633-2025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45721</v>
      </c>
      <c r="E190" s="1" t="n">
        <v>46319</v>
      </c>
      <c r="F190" t="inlineStr">
        <is>
          <t>VÄSTRA GÖTALANDS LÄN</t>
        </is>
      </c>
      <c r="G190" t="inlineStr">
        <is>
          <t>MUNKEDAL</t>
        </is>
      </c>
      <c r="I190" t="n">
        <v>1.7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9558-2025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45714</v>
      </c>
      <c r="E191" s="1" t="n">
        <v>46319</v>
      </c>
      <c r="F191" t="inlineStr">
        <is>
          <t>VÄSTRA GÖTALANDS LÄN</t>
        </is>
      </c>
      <c r="G191" t="inlineStr">
        <is>
          <t>MUNKEDAL</t>
        </is>
      </c>
      <c r="H191" t="inlineStr">
        <is>
          <t>Övriga Aktiebolag</t>
        </is>
      </c>
      <c r="I191" t="n">
        <v>26.5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23527-2025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45792</v>
      </c>
      <c r="E192" s="1" t="n">
        <v>46319</v>
      </c>
      <c r="F192" t="inlineStr">
        <is>
          <t>VÄSTRA GÖTALANDS LÄN</t>
        </is>
      </c>
      <c r="G192" t="inlineStr">
        <is>
          <t>MUNKEDAL</t>
        </is>
      </c>
      <c r="I192" t="n">
        <v>0.6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6222-2025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45696</v>
      </c>
      <c r="E193" s="1" t="n">
        <v>46319</v>
      </c>
      <c r="F193" t="inlineStr">
        <is>
          <t>VÄSTRA GÖTALANDS LÄN</t>
        </is>
      </c>
      <c r="G193" t="inlineStr">
        <is>
          <t>MUNKEDAL</t>
        </is>
      </c>
      <c r="I193" t="n">
        <v>3.6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1864-2026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46035</v>
      </c>
      <c r="E194" s="1" t="n">
        <v>46319</v>
      </c>
      <c r="F194" t="inlineStr">
        <is>
          <t>VÄSTRA GÖTALANDS LÄN</t>
        </is>
      </c>
      <c r="G194" t="inlineStr">
        <is>
          <t>MUNKEDAL</t>
        </is>
      </c>
      <c r="I194" t="n">
        <v>5.4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2002-2026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46035</v>
      </c>
      <c r="E195" s="1" t="n">
        <v>46319</v>
      </c>
      <c r="F195" t="inlineStr">
        <is>
          <t>VÄSTRA GÖTALANDS LÄN</t>
        </is>
      </c>
      <c r="G195" t="inlineStr">
        <is>
          <t>MUNKEDAL</t>
        </is>
      </c>
      <c r="H195" t="inlineStr">
        <is>
          <t>Övriga Aktiebolag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28919-2025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45820</v>
      </c>
      <c r="E196" s="1" t="n">
        <v>46319</v>
      </c>
      <c r="F196" t="inlineStr">
        <is>
          <t>VÄSTRA GÖTALANDS LÄN</t>
        </is>
      </c>
      <c r="G196" t="inlineStr">
        <is>
          <t>MUNKEDAL</t>
        </is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3003-2026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46038</v>
      </c>
      <c r="E197" s="1" t="n">
        <v>46319</v>
      </c>
      <c r="F197" t="inlineStr">
        <is>
          <t>VÄSTRA GÖTALANDS LÄN</t>
        </is>
      </c>
      <c r="G197" t="inlineStr">
        <is>
          <t>MUNKEDAL</t>
        </is>
      </c>
      <c r="I197" t="n">
        <v>4.3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30427-2023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45111</v>
      </c>
      <c r="E198" s="1" t="n">
        <v>46319</v>
      </c>
      <c r="F198" t="inlineStr">
        <is>
          <t>VÄSTRA GÖTALANDS LÄN</t>
        </is>
      </c>
      <c r="G198" t="inlineStr">
        <is>
          <t>MUNKEDAL</t>
        </is>
      </c>
      <c r="H198" t="inlineStr">
        <is>
          <t>Naturvårdsverket</t>
        </is>
      </c>
      <c r="I198" t="n">
        <v>1.3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38851-2026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46286</v>
      </c>
      <c r="E199" s="1" t="n">
        <v>46319</v>
      </c>
      <c r="F199" t="inlineStr">
        <is>
          <t>VÄSTRA GÖTALANDS LÄN</t>
        </is>
      </c>
      <c r="G199" t="inlineStr">
        <is>
          <t>MUNKEDAL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3002-2026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46038</v>
      </c>
      <c r="E200" s="1" t="n">
        <v>46319</v>
      </c>
      <c r="F200" t="inlineStr">
        <is>
          <t>VÄSTRA GÖTALANDS LÄN</t>
        </is>
      </c>
      <c r="G200" t="inlineStr">
        <is>
          <t>MUNKEDAL</t>
        </is>
      </c>
      <c r="I200" t="n">
        <v>1.7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36891-2023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45154</v>
      </c>
      <c r="E201" s="1" t="n">
        <v>46319</v>
      </c>
      <c r="F201" t="inlineStr">
        <is>
          <t>VÄSTRA GÖTALANDS LÄN</t>
        </is>
      </c>
      <c r="G201" t="inlineStr">
        <is>
          <t>MUNKEDAL</t>
        </is>
      </c>
      <c r="I201" t="n">
        <v>0.6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27607-2026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46190</v>
      </c>
      <c r="E202" s="1" t="n">
        <v>46319</v>
      </c>
      <c r="F202" t="inlineStr">
        <is>
          <t>VÄSTRA GÖTALANDS LÄN</t>
        </is>
      </c>
      <c r="G202" t="inlineStr">
        <is>
          <t>MUNKEDAL</t>
        </is>
      </c>
      <c r="I202" t="n">
        <v>1.6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24396-2025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45797</v>
      </c>
      <c r="E203" s="1" t="n">
        <v>46319</v>
      </c>
      <c r="F203" t="inlineStr">
        <is>
          <t>VÄSTRA GÖTALANDS LÄN</t>
        </is>
      </c>
      <c r="G203" t="inlineStr">
        <is>
          <t>MUNKEDAL</t>
        </is>
      </c>
      <c r="I203" t="n">
        <v>2.4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24397-2025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45797</v>
      </c>
      <c r="E204" s="1" t="n">
        <v>46319</v>
      </c>
      <c r="F204" t="inlineStr">
        <is>
          <t>VÄSTRA GÖTALANDS LÄN</t>
        </is>
      </c>
      <c r="G204" t="inlineStr">
        <is>
          <t>MUNKEDAL</t>
        </is>
      </c>
      <c r="I204" t="n">
        <v>1.6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4371-2026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46044</v>
      </c>
      <c r="E205" s="1" t="n">
        <v>46319</v>
      </c>
      <c r="F205" t="inlineStr">
        <is>
          <t>VÄSTRA GÖTALANDS LÄN</t>
        </is>
      </c>
      <c r="G205" t="inlineStr">
        <is>
          <t>MUNKEDAL</t>
        </is>
      </c>
      <c r="H205" t="inlineStr">
        <is>
          <t>Övriga Aktiebolag</t>
        </is>
      </c>
      <c r="I205" t="n">
        <v>6.5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51411-2022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44866</v>
      </c>
      <c r="E206" s="1" t="n">
        <v>46319</v>
      </c>
      <c r="F206" t="inlineStr">
        <is>
          <t>VÄSTRA GÖTALANDS LÄN</t>
        </is>
      </c>
      <c r="G206" t="inlineStr">
        <is>
          <t>MUNKEDAL</t>
        </is>
      </c>
      <c r="I206" t="n">
        <v>0.7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44482-2023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45189</v>
      </c>
      <c r="E207" s="1" t="n">
        <v>46319</v>
      </c>
      <c r="F207" t="inlineStr">
        <is>
          <t>VÄSTRA GÖTALANDS LÄN</t>
        </is>
      </c>
      <c r="G207" t="inlineStr">
        <is>
          <t>MUNKEDAL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4855-2026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46048</v>
      </c>
      <c r="E208" s="1" t="n">
        <v>46319</v>
      </c>
      <c r="F208" t="inlineStr">
        <is>
          <t>VÄSTRA GÖTALANDS LÄN</t>
        </is>
      </c>
      <c r="G208" t="inlineStr">
        <is>
          <t>MUNKEDAL</t>
        </is>
      </c>
      <c r="I208" t="n">
        <v>2.1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4563-2026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46047</v>
      </c>
      <c r="E209" s="1" t="n">
        <v>46319</v>
      </c>
      <c r="F209" t="inlineStr">
        <is>
          <t>VÄSTRA GÖTALANDS LÄN</t>
        </is>
      </c>
      <c r="G209" t="inlineStr">
        <is>
          <t>MUNKEDAL</t>
        </is>
      </c>
      <c r="I209" t="n">
        <v>0.4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47758-2024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45588</v>
      </c>
      <c r="E210" s="1" t="n">
        <v>46319</v>
      </c>
      <c r="F210" t="inlineStr">
        <is>
          <t>VÄSTRA GÖTALANDS LÄN</t>
        </is>
      </c>
      <c r="G210" t="inlineStr">
        <is>
          <t>MUNKEDAL</t>
        </is>
      </c>
      <c r="I210" t="n">
        <v>1.2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32862-2026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46244</v>
      </c>
      <c r="E211" s="1" t="n">
        <v>46319</v>
      </c>
      <c r="F211" t="inlineStr">
        <is>
          <t>VÄSTRA GÖTALANDS LÄN</t>
        </is>
      </c>
      <c r="G211" t="inlineStr">
        <is>
          <t>MUNKEDAL</t>
        </is>
      </c>
      <c r="I211" t="n">
        <v>1.8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25406-2025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45800</v>
      </c>
      <c r="E212" s="1" t="n">
        <v>46319</v>
      </c>
      <c r="F212" t="inlineStr">
        <is>
          <t>VÄSTRA GÖTALANDS LÄN</t>
        </is>
      </c>
      <c r="G212" t="inlineStr">
        <is>
          <t>MUNKEDAL</t>
        </is>
      </c>
      <c r="I212" t="n">
        <v>4.6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39640-2026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46288</v>
      </c>
      <c r="E213" s="1" t="n">
        <v>46319</v>
      </c>
      <c r="F213" t="inlineStr">
        <is>
          <t>VÄSTRA GÖTALANDS LÄN</t>
        </is>
      </c>
      <c r="G213" t="inlineStr">
        <is>
          <t>MUNKEDAL</t>
        </is>
      </c>
      <c r="H213" t="inlineStr">
        <is>
          <t>Övriga Aktiebolag</t>
        </is>
      </c>
      <c r="I213" t="n">
        <v>0.9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5500-2026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46050</v>
      </c>
      <c r="E214" s="1" t="n">
        <v>46319</v>
      </c>
      <c r="F214" t="inlineStr">
        <is>
          <t>VÄSTRA GÖTALANDS LÄN</t>
        </is>
      </c>
      <c r="G214" t="inlineStr">
        <is>
          <t>MUNKEDAL</t>
        </is>
      </c>
      <c r="H214" t="inlineStr">
        <is>
          <t>Kyrkan</t>
        </is>
      </c>
      <c r="I214" t="n">
        <v>0.6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6685-2026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46052</v>
      </c>
      <c r="E215" s="1" t="n">
        <v>46319</v>
      </c>
      <c r="F215" t="inlineStr">
        <is>
          <t>VÄSTRA GÖTALANDS LÄN</t>
        </is>
      </c>
      <c r="G215" t="inlineStr">
        <is>
          <t>MUNKEDAL</t>
        </is>
      </c>
      <c r="H215" t="inlineStr">
        <is>
          <t>Övriga Aktiebolag</t>
        </is>
      </c>
      <c r="I215" t="n">
        <v>5.5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25607-2025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45803</v>
      </c>
      <c r="E216" s="1" t="n">
        <v>46319</v>
      </c>
      <c r="F216" t="inlineStr">
        <is>
          <t>VÄSTRA GÖTALANDS LÄN</t>
        </is>
      </c>
      <c r="G216" t="inlineStr">
        <is>
          <t>MUNKEDAL</t>
        </is>
      </c>
      <c r="I216" t="n">
        <v>2.3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33428-2026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46247</v>
      </c>
      <c r="E217" s="1" t="n">
        <v>46319</v>
      </c>
      <c r="F217" t="inlineStr">
        <is>
          <t>VÄSTRA GÖTALANDS LÄN</t>
        </is>
      </c>
      <c r="G217" t="inlineStr">
        <is>
          <t>MUNKEDAL</t>
        </is>
      </c>
      <c r="I217" t="n">
        <v>6.3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33417-2026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46247</v>
      </c>
      <c r="E218" s="1" t="n">
        <v>46319</v>
      </c>
      <c r="F218" t="inlineStr">
        <is>
          <t>VÄSTRA GÖTALANDS LÄN</t>
        </is>
      </c>
      <c r="G218" t="inlineStr">
        <is>
          <t>MUNKEDAL</t>
        </is>
      </c>
      <c r="I218" t="n">
        <v>4.5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6824-2026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46055</v>
      </c>
      <c r="E219" s="1" t="n">
        <v>46319</v>
      </c>
      <c r="F219" t="inlineStr">
        <is>
          <t>VÄSTRA GÖTALANDS LÄN</t>
        </is>
      </c>
      <c r="G219" t="inlineStr">
        <is>
          <t>MUNKEDAL</t>
        </is>
      </c>
      <c r="H219" t="inlineStr">
        <is>
          <t>Övriga Aktiebolag</t>
        </is>
      </c>
      <c r="I219" t="n">
        <v>1.5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25232-2026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46175</v>
      </c>
      <c r="E220" s="1" t="n">
        <v>46319</v>
      </c>
      <c r="F220" t="inlineStr">
        <is>
          <t>VÄSTRA GÖTALANDS LÄN</t>
        </is>
      </c>
      <c r="G220" t="inlineStr">
        <is>
          <t>MUNKEDAL</t>
        </is>
      </c>
      <c r="I220" t="n">
        <v>1.6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19631-2022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44694</v>
      </c>
      <c r="E221" s="1" t="n">
        <v>46319</v>
      </c>
      <c r="F221" t="inlineStr">
        <is>
          <t>VÄSTRA GÖTALANDS LÄN</t>
        </is>
      </c>
      <c r="G221" t="inlineStr">
        <is>
          <t>MUNKEDAL</t>
        </is>
      </c>
      <c r="I221" t="n">
        <v>1.8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56867-2024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45625</v>
      </c>
      <c r="E222" s="1" t="n">
        <v>46319</v>
      </c>
      <c r="F222" t="inlineStr">
        <is>
          <t>VÄSTRA GÖTALANDS LÄN</t>
        </is>
      </c>
      <c r="G222" t="inlineStr">
        <is>
          <t>MUNKEDAL</t>
        </is>
      </c>
      <c r="H222" t="inlineStr">
        <is>
          <t>Kyrkan</t>
        </is>
      </c>
      <c r="I222" t="n">
        <v>1.5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40647-2024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45557</v>
      </c>
      <c r="E223" s="1" t="n">
        <v>46319</v>
      </c>
      <c r="F223" t="inlineStr">
        <is>
          <t>VÄSTRA GÖTALANDS LÄN</t>
        </is>
      </c>
      <c r="G223" t="inlineStr">
        <is>
          <t>MUNKEDAL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7656-2026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46062</v>
      </c>
      <c r="E224" s="1" t="n">
        <v>46319</v>
      </c>
      <c r="F224" t="inlineStr">
        <is>
          <t>VÄSTRA GÖTALANDS LÄN</t>
        </is>
      </c>
      <c r="G224" t="inlineStr">
        <is>
          <t>MUNKEDAL</t>
        </is>
      </c>
      <c r="I224" t="n">
        <v>1.3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7385-2026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46059</v>
      </c>
      <c r="E225" s="1" t="n">
        <v>46319</v>
      </c>
      <c r="F225" t="inlineStr">
        <is>
          <t>VÄSTRA GÖTALANDS LÄN</t>
        </is>
      </c>
      <c r="G225" t="inlineStr">
        <is>
          <t>MUNKEDAL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7950-2026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46063</v>
      </c>
      <c r="E226" s="1" t="n">
        <v>46319</v>
      </c>
      <c r="F226" t="inlineStr">
        <is>
          <t>VÄSTRA GÖTALANDS LÄN</t>
        </is>
      </c>
      <c r="G226" t="inlineStr">
        <is>
          <t>MUNKEDAL</t>
        </is>
      </c>
      <c r="I226" t="n">
        <v>1.7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8257-2026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46064</v>
      </c>
      <c r="E227" s="1" t="n">
        <v>46319</v>
      </c>
      <c r="F227" t="inlineStr">
        <is>
          <t>VÄSTRA GÖTALANDS LÄN</t>
        </is>
      </c>
      <c r="G227" t="inlineStr">
        <is>
          <t>MUNKEDAL</t>
        </is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40390-2026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46294</v>
      </c>
      <c r="E228" s="1" t="n">
        <v>46319</v>
      </c>
      <c r="F228" t="inlineStr">
        <is>
          <t>VÄSTRA GÖTALANDS LÄN</t>
        </is>
      </c>
      <c r="G228" t="inlineStr">
        <is>
          <t>MUNKEDAL</t>
        </is>
      </c>
      <c r="I228" t="n">
        <v>1.8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10096-2026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46073</v>
      </c>
      <c r="E229" s="1" t="n">
        <v>46319</v>
      </c>
      <c r="F229" t="inlineStr">
        <is>
          <t>VÄSTRA GÖTALANDS LÄN</t>
        </is>
      </c>
      <c r="G229" t="inlineStr">
        <is>
          <t>MUNKEDAL</t>
        </is>
      </c>
      <c r="H229" t="inlineStr">
        <is>
          <t>Övriga Aktiebolag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40789-2026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46294</v>
      </c>
      <c r="E230" s="1" t="n">
        <v>46319</v>
      </c>
      <c r="F230" t="inlineStr">
        <is>
          <t>VÄSTRA GÖTALANDS LÄN</t>
        </is>
      </c>
      <c r="G230" t="inlineStr">
        <is>
          <t>MUNKEDAL</t>
        </is>
      </c>
      <c r="I230" t="n">
        <v>0.7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34292-2026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46253</v>
      </c>
      <c r="E231" s="1" t="n">
        <v>46319</v>
      </c>
      <c r="F231" t="inlineStr">
        <is>
          <t>VÄSTRA GÖTALANDS LÄN</t>
        </is>
      </c>
      <c r="G231" t="inlineStr">
        <is>
          <t>MUNKEDAL</t>
        </is>
      </c>
      <c r="I231" t="n">
        <v>2.3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40794-2026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46294</v>
      </c>
      <c r="E232" s="1" t="n">
        <v>46319</v>
      </c>
      <c r="F232" t="inlineStr">
        <is>
          <t>VÄSTRA GÖTALANDS LÄN</t>
        </is>
      </c>
      <c r="G232" t="inlineStr">
        <is>
          <t>MUNKEDAL</t>
        </is>
      </c>
      <c r="H232" t="inlineStr">
        <is>
          <t>Övriga Aktiebolag</t>
        </is>
      </c>
      <c r="I232" t="n">
        <v>2.6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29305-2025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45824</v>
      </c>
      <c r="E233" s="1" t="n">
        <v>46319</v>
      </c>
      <c r="F233" t="inlineStr">
        <is>
          <t>VÄSTRA GÖTALANDS LÄN</t>
        </is>
      </c>
      <c r="G233" t="inlineStr">
        <is>
          <t>MUNKEDAL</t>
        </is>
      </c>
      <c r="I233" t="n">
        <v>1.3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30031-2025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45826</v>
      </c>
      <c r="E234" s="1" t="n">
        <v>46319</v>
      </c>
      <c r="F234" t="inlineStr">
        <is>
          <t>VÄSTRA GÖTALANDS LÄN</t>
        </is>
      </c>
      <c r="G234" t="inlineStr">
        <is>
          <t>MUNKEDAL</t>
        </is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10775-2026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46078</v>
      </c>
      <c r="E235" s="1" t="n">
        <v>46319</v>
      </c>
      <c r="F235" t="inlineStr">
        <is>
          <t>VÄSTRA GÖTALANDS LÄN</t>
        </is>
      </c>
      <c r="G235" t="inlineStr">
        <is>
          <t>MUNKEDAL</t>
        </is>
      </c>
      <c r="I235" t="n">
        <v>1.1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34306-2026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46254</v>
      </c>
      <c r="E236" s="1" t="n">
        <v>46319</v>
      </c>
      <c r="F236" t="inlineStr">
        <is>
          <t>VÄSTRA GÖTALANDS LÄN</t>
        </is>
      </c>
      <c r="G236" t="inlineStr">
        <is>
          <t>MUNKEDAL</t>
        </is>
      </c>
      <c r="I236" t="n">
        <v>11.6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34288-2026</t>
        </is>
      </c>
      <c r="B237" t="inlineStr">
        <is>
          <t>avverkningsanmälan</t>
        </is>
      </c>
      <c r="C237" t="inlineStr">
        <is>
          <t>Avverkning för annat ändamål</t>
        </is>
      </c>
      <c r="D237" s="1" t="n">
        <v>46253</v>
      </c>
      <c r="E237" s="1" t="n">
        <v>46319</v>
      </c>
      <c r="F237" t="inlineStr">
        <is>
          <t>VÄSTRA GÖTALANDS LÄN</t>
        </is>
      </c>
      <c r="G237" t="inlineStr">
        <is>
          <t>MUNKEDAL</t>
        </is>
      </c>
      <c r="I237" t="n">
        <v>0.5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34295-2026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46253</v>
      </c>
      <c r="E238" s="1" t="n">
        <v>46319</v>
      </c>
      <c r="F238" t="inlineStr">
        <is>
          <t>VÄSTRA GÖTALANDS LÄN</t>
        </is>
      </c>
      <c r="G238" t="inlineStr">
        <is>
          <t>MUNKEDAL</t>
        </is>
      </c>
      <c r="I238" t="n">
        <v>3.4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34297-2026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46253</v>
      </c>
      <c r="E239" s="1" t="n">
        <v>46319</v>
      </c>
      <c r="F239" t="inlineStr">
        <is>
          <t>VÄSTRA GÖTALANDS LÄN</t>
        </is>
      </c>
      <c r="G239" t="inlineStr">
        <is>
          <t>MUNKEDAL</t>
        </is>
      </c>
      <c r="I239" t="n">
        <v>11.6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34298-2026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46253</v>
      </c>
      <c r="E240" s="1" t="n">
        <v>46319</v>
      </c>
      <c r="F240" t="inlineStr">
        <is>
          <t>VÄSTRA GÖTALANDS LÄN</t>
        </is>
      </c>
      <c r="G240" t="inlineStr">
        <is>
          <t>MUNKEDAL</t>
        </is>
      </c>
      <c r="I240" t="n">
        <v>1.5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34299-2026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46253</v>
      </c>
      <c r="E241" s="1" t="n">
        <v>46319</v>
      </c>
      <c r="F241" t="inlineStr">
        <is>
          <t>VÄSTRA GÖTALANDS LÄN</t>
        </is>
      </c>
      <c r="G241" t="inlineStr">
        <is>
          <t>MUNKEDAL</t>
        </is>
      </c>
      <c r="I241" t="n">
        <v>4.6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40509-2026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46295</v>
      </c>
      <c r="E242" s="1" t="n">
        <v>46319</v>
      </c>
      <c r="F242" t="inlineStr">
        <is>
          <t>VÄSTRA GÖTALANDS LÄN</t>
        </is>
      </c>
      <c r="G242" t="inlineStr">
        <is>
          <t>MUNKEDAL</t>
        </is>
      </c>
      <c r="I242" t="n">
        <v>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34296-2026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46253</v>
      </c>
      <c r="E243" s="1" t="n">
        <v>46319</v>
      </c>
      <c r="F243" t="inlineStr">
        <is>
          <t>VÄSTRA GÖTALANDS LÄN</t>
        </is>
      </c>
      <c r="G243" t="inlineStr">
        <is>
          <t>MUNKEDAL</t>
        </is>
      </c>
      <c r="I243" t="n">
        <v>1.7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23871-2024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45455</v>
      </c>
      <c r="E244" s="1" t="n">
        <v>46319</v>
      </c>
      <c r="F244" t="inlineStr">
        <is>
          <t>VÄSTRA GÖTALANDS LÄN</t>
        </is>
      </c>
      <c r="G244" t="inlineStr">
        <is>
          <t>MUNKEDAL</t>
        </is>
      </c>
      <c r="I244" t="n">
        <v>6.1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52302-2022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44873</v>
      </c>
      <c r="E245" s="1" t="n">
        <v>46319</v>
      </c>
      <c r="F245" t="inlineStr">
        <is>
          <t>VÄSTRA GÖTALANDS LÄN</t>
        </is>
      </c>
      <c r="G245" t="inlineStr">
        <is>
          <t>MUNKEDAL</t>
        </is>
      </c>
      <c r="I245" t="n">
        <v>9.300000000000001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30614-2025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45831</v>
      </c>
      <c r="E246" s="1" t="n">
        <v>46319</v>
      </c>
      <c r="F246" t="inlineStr">
        <is>
          <t>VÄSTRA GÖTALANDS LÄN</t>
        </is>
      </c>
      <c r="G246" t="inlineStr">
        <is>
          <t>MUNKEDAL</t>
        </is>
      </c>
      <c r="I246" t="n">
        <v>6.1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6809-2024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45342</v>
      </c>
      <c r="E247" s="1" t="n">
        <v>46319</v>
      </c>
      <c r="F247" t="inlineStr">
        <is>
          <t>VÄSTRA GÖTALANDS LÄN</t>
        </is>
      </c>
      <c r="G247" t="inlineStr">
        <is>
          <t>MUNKEDAL</t>
        </is>
      </c>
      <c r="H247" t="inlineStr">
        <is>
          <t>Kyrkan</t>
        </is>
      </c>
      <c r="I247" t="n">
        <v>5.4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31176-2025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45831</v>
      </c>
      <c r="E248" s="1" t="n">
        <v>46319</v>
      </c>
      <c r="F248" t="inlineStr">
        <is>
          <t>VÄSTRA GÖTALANDS LÄN</t>
        </is>
      </c>
      <c r="G248" t="inlineStr">
        <is>
          <t>MUNKEDAL</t>
        </is>
      </c>
      <c r="H248" t="inlineStr">
        <is>
          <t>Övriga Aktiebolag</t>
        </is>
      </c>
      <c r="I248" t="n">
        <v>1.3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12624-2026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46091</v>
      </c>
      <c r="E249" s="1" t="n">
        <v>46319</v>
      </c>
      <c r="F249" t="inlineStr">
        <is>
          <t>VÄSTRA GÖTALANDS LÄN</t>
        </is>
      </c>
      <c r="G249" t="inlineStr">
        <is>
          <t>MUNKEDAL</t>
        </is>
      </c>
      <c r="I249" t="n">
        <v>3.7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14608-2026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46101</v>
      </c>
      <c r="E250" s="1" t="n">
        <v>46319</v>
      </c>
      <c r="F250" t="inlineStr">
        <is>
          <t>VÄSTRA GÖTALANDS LÄN</t>
        </is>
      </c>
      <c r="G250" t="inlineStr">
        <is>
          <t>MUNKEDAL</t>
        </is>
      </c>
      <c r="I250" t="n">
        <v>0.6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34080-2025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45845</v>
      </c>
      <c r="E251" s="1" t="n">
        <v>46319</v>
      </c>
      <c r="F251" t="inlineStr">
        <is>
          <t>VÄSTRA GÖTALANDS LÄN</t>
        </is>
      </c>
      <c r="G251" t="inlineStr">
        <is>
          <t>MUNKEDAL</t>
        </is>
      </c>
      <c r="I251" t="n">
        <v>3.4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34083-2025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45845</v>
      </c>
      <c r="E252" s="1" t="n">
        <v>46319</v>
      </c>
      <c r="F252" t="inlineStr">
        <is>
          <t>VÄSTRA GÖTALANDS LÄN</t>
        </is>
      </c>
      <c r="G252" t="inlineStr">
        <is>
          <t>MUNKEDAL</t>
        </is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14607-2026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46101</v>
      </c>
      <c r="E253" s="1" t="n">
        <v>46319</v>
      </c>
      <c r="F253" t="inlineStr">
        <is>
          <t>VÄSTRA GÖTALANDS LÄN</t>
        </is>
      </c>
      <c r="G253" t="inlineStr">
        <is>
          <t>MUNKEDAL</t>
        </is>
      </c>
      <c r="I253" t="n">
        <v>2.2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58325-2024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45632</v>
      </c>
      <c r="E254" s="1" t="n">
        <v>46319</v>
      </c>
      <c r="F254" t="inlineStr">
        <is>
          <t>VÄSTRA GÖTALANDS LÄN</t>
        </is>
      </c>
      <c r="G254" t="inlineStr">
        <is>
          <t>MUNKEDAL</t>
        </is>
      </c>
      <c r="I254" t="n">
        <v>1.8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34624-2025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45847</v>
      </c>
      <c r="E255" s="1" t="n">
        <v>46319</v>
      </c>
      <c r="F255" t="inlineStr">
        <is>
          <t>VÄSTRA GÖTALANDS LÄN</t>
        </is>
      </c>
      <c r="G255" t="inlineStr">
        <is>
          <t>MUNKEDAL</t>
        </is>
      </c>
      <c r="I255" t="n">
        <v>3.8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34978-2025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45849</v>
      </c>
      <c r="E256" s="1" t="n">
        <v>46319</v>
      </c>
      <c r="F256" t="inlineStr">
        <is>
          <t>VÄSTRA GÖTALANDS LÄN</t>
        </is>
      </c>
      <c r="G256" t="inlineStr">
        <is>
          <t>MUNKEDAL</t>
        </is>
      </c>
      <c r="I256" t="n">
        <v>6.2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29946-2024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45488</v>
      </c>
      <c r="E257" s="1" t="n">
        <v>46319</v>
      </c>
      <c r="F257" t="inlineStr">
        <is>
          <t>VÄSTRA GÖTALANDS LÄN</t>
        </is>
      </c>
      <c r="G257" t="inlineStr">
        <is>
          <t>MUNKEDAL</t>
        </is>
      </c>
      <c r="I257" t="n">
        <v>0.9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16330-2026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46111</v>
      </c>
      <c r="E258" s="1" t="n">
        <v>46319</v>
      </c>
      <c r="F258" t="inlineStr">
        <is>
          <t>VÄSTRA GÖTALANDS LÄN</t>
        </is>
      </c>
      <c r="G258" t="inlineStr">
        <is>
          <t>MUNKEDAL</t>
        </is>
      </c>
      <c r="I258" t="n">
        <v>1.4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16405-2026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46111</v>
      </c>
      <c r="E259" s="1" t="n">
        <v>46319</v>
      </c>
      <c r="F259" t="inlineStr">
        <is>
          <t>VÄSTRA GÖTALANDS LÄN</t>
        </is>
      </c>
      <c r="G259" t="inlineStr">
        <is>
          <t>MUNKEDAL</t>
        </is>
      </c>
      <c r="I259" t="n">
        <v>5.6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16410-2026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46111</v>
      </c>
      <c r="E260" s="1" t="n">
        <v>46319</v>
      </c>
      <c r="F260" t="inlineStr">
        <is>
          <t>VÄSTRA GÖTALANDS LÄN</t>
        </is>
      </c>
      <c r="G260" t="inlineStr">
        <is>
          <t>MUNKEDAL</t>
        </is>
      </c>
      <c r="I260" t="n">
        <v>2.5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16416-2026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46111</v>
      </c>
      <c r="E261" s="1" t="n">
        <v>46319</v>
      </c>
      <c r="F261" t="inlineStr">
        <is>
          <t>VÄSTRA GÖTALANDS LÄN</t>
        </is>
      </c>
      <c r="G261" t="inlineStr">
        <is>
          <t>MUNKEDAL</t>
        </is>
      </c>
      <c r="I261" t="n">
        <v>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16399-2026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46111</v>
      </c>
      <c r="E262" s="1" t="n">
        <v>46319</v>
      </c>
      <c r="F262" t="inlineStr">
        <is>
          <t>VÄSTRA GÖTALANDS LÄN</t>
        </is>
      </c>
      <c r="G262" t="inlineStr">
        <is>
          <t>MUNKEDAL</t>
        </is>
      </c>
      <c r="I262" t="n">
        <v>3.2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16968-2025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45755</v>
      </c>
      <c r="E263" s="1" t="n">
        <v>46319</v>
      </c>
      <c r="F263" t="inlineStr">
        <is>
          <t>VÄSTRA GÖTALANDS LÄN</t>
        </is>
      </c>
      <c r="G263" t="inlineStr">
        <is>
          <t>MUNKEDAL</t>
        </is>
      </c>
      <c r="I263" t="n">
        <v>3.7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9746-2023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44984</v>
      </c>
      <c r="E264" s="1" t="n">
        <v>46319</v>
      </c>
      <c r="F264" t="inlineStr">
        <is>
          <t>VÄSTRA GÖTALANDS LÄN</t>
        </is>
      </c>
      <c r="G264" t="inlineStr">
        <is>
          <t>MUNKEDAL</t>
        </is>
      </c>
      <c r="I264" t="n">
        <v>1.5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9748-2023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44984</v>
      </c>
      <c r="E265" s="1" t="n">
        <v>46319</v>
      </c>
      <c r="F265" t="inlineStr">
        <is>
          <t>VÄSTRA GÖTALANDS LÄN</t>
        </is>
      </c>
      <c r="G265" t="inlineStr">
        <is>
          <t>MUNKEDAL</t>
        </is>
      </c>
      <c r="I265" t="n">
        <v>3.3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41262-2026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46297</v>
      </c>
      <c r="E266" s="1" t="n">
        <v>46319</v>
      </c>
      <c r="F266" t="inlineStr">
        <is>
          <t>VÄSTRA GÖTALANDS LÄN</t>
        </is>
      </c>
      <c r="G266" t="inlineStr">
        <is>
          <t>MUNKEDAL</t>
        </is>
      </c>
      <c r="H266" t="inlineStr">
        <is>
          <t>Övriga Aktiebolag</t>
        </is>
      </c>
      <c r="I266" t="n">
        <v>4.8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16407-2026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46111</v>
      </c>
      <c r="E267" s="1" t="n">
        <v>46319</v>
      </c>
      <c r="F267" t="inlineStr">
        <is>
          <t>VÄSTRA GÖTALANDS LÄN</t>
        </is>
      </c>
      <c r="G267" t="inlineStr">
        <is>
          <t>MUNKEDAL</t>
        </is>
      </c>
      <c r="I267" t="n">
        <v>1.2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41957-2026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46303</v>
      </c>
      <c r="E268" s="1" t="n">
        <v>46319</v>
      </c>
      <c r="F268" t="inlineStr">
        <is>
          <t>VÄSTRA GÖTALANDS LÄN</t>
        </is>
      </c>
      <c r="G268" t="inlineStr">
        <is>
          <t>MUNKEDAL</t>
        </is>
      </c>
      <c r="I268" t="n">
        <v>1.8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41892-2026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46303</v>
      </c>
      <c r="E269" s="1" t="n">
        <v>46319</v>
      </c>
      <c r="F269" t="inlineStr">
        <is>
          <t>VÄSTRA GÖTALANDS LÄN</t>
        </is>
      </c>
      <c r="G269" t="inlineStr">
        <is>
          <t>MUNKEDAL</t>
        </is>
      </c>
      <c r="I269" t="n">
        <v>8.699999999999999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61584-2023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45261</v>
      </c>
      <c r="E270" s="1" t="n">
        <v>46319</v>
      </c>
      <c r="F270" t="inlineStr">
        <is>
          <t>VÄSTRA GÖTALANDS LÄN</t>
        </is>
      </c>
      <c r="G270" t="inlineStr">
        <is>
          <t>MUNKEDAL</t>
        </is>
      </c>
      <c r="H270" t="inlineStr">
        <is>
          <t>Övriga Aktiebolag</t>
        </is>
      </c>
      <c r="I270" t="n">
        <v>2.7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58251-2024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45631</v>
      </c>
      <c r="E271" s="1" t="n">
        <v>46319</v>
      </c>
      <c r="F271" t="inlineStr">
        <is>
          <t>VÄSTRA GÖTALANDS LÄN</t>
        </is>
      </c>
      <c r="G271" t="inlineStr">
        <is>
          <t>MUNKEDAL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41943-2026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46303</v>
      </c>
      <c r="E272" s="1" t="n">
        <v>46319</v>
      </c>
      <c r="F272" t="inlineStr">
        <is>
          <t>VÄSTRA GÖTALANDS LÄN</t>
        </is>
      </c>
      <c r="G272" t="inlineStr">
        <is>
          <t>MUNKEDAL</t>
        </is>
      </c>
      <c r="I272" t="n">
        <v>9.5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8561-2024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45351</v>
      </c>
      <c r="E273" s="1" t="n">
        <v>46319</v>
      </c>
      <c r="F273" t="inlineStr">
        <is>
          <t>VÄSTRA GÖTALANDS LÄN</t>
        </is>
      </c>
      <c r="G273" t="inlineStr">
        <is>
          <t>MUNKEDAL</t>
        </is>
      </c>
      <c r="H273" t="inlineStr">
        <is>
          <t>Övriga Aktiebolag</t>
        </is>
      </c>
      <c r="I273" t="n">
        <v>1.8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16631-2022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44672</v>
      </c>
      <c r="E274" s="1" t="n">
        <v>46319</v>
      </c>
      <c r="F274" t="inlineStr">
        <is>
          <t>VÄSTRA GÖTALANDS LÄN</t>
        </is>
      </c>
      <c r="G274" t="inlineStr">
        <is>
          <t>MUNKEDAL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41766-2026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46302</v>
      </c>
      <c r="E275" s="1" t="n">
        <v>46319</v>
      </c>
      <c r="F275" t="inlineStr">
        <is>
          <t>VÄSTRA GÖTALANDS LÄN</t>
        </is>
      </c>
      <c r="G275" t="inlineStr">
        <is>
          <t>MUNKEDAL</t>
        </is>
      </c>
      <c r="H275" t="inlineStr">
        <is>
          <t>Övriga Aktiebolag</t>
        </is>
      </c>
      <c r="I275" t="n">
        <v>7.1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29588-2024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45484</v>
      </c>
      <c r="E276" s="1" t="n">
        <v>46319</v>
      </c>
      <c r="F276" t="inlineStr">
        <is>
          <t>VÄSTRA GÖTALANDS LÄN</t>
        </is>
      </c>
      <c r="G276" t="inlineStr">
        <is>
          <t>MUNKEDAL</t>
        </is>
      </c>
      <c r="H276" t="inlineStr">
        <is>
          <t>Övriga Aktiebolag</t>
        </is>
      </c>
      <c r="I276" t="n">
        <v>1.5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19173-2026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46129</v>
      </c>
      <c r="E277" s="1" t="n">
        <v>46319</v>
      </c>
      <c r="F277" t="inlineStr">
        <is>
          <t>VÄSTRA GÖTALANDS LÄN</t>
        </is>
      </c>
      <c r="G277" t="inlineStr">
        <is>
          <t>MUNKEDAL</t>
        </is>
      </c>
      <c r="H277" t="inlineStr">
        <is>
          <t>Övriga Aktiebolag</t>
        </is>
      </c>
      <c r="I277" t="n">
        <v>0.4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42546-2026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46308</v>
      </c>
      <c r="E278" s="1" t="n">
        <v>46319</v>
      </c>
      <c r="F278" t="inlineStr">
        <is>
          <t>VÄSTRA GÖTALANDS LÄN</t>
        </is>
      </c>
      <c r="G278" t="inlineStr">
        <is>
          <t>MUNKEDAL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42550-2026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46308</v>
      </c>
      <c r="E279" s="1" t="n">
        <v>46319</v>
      </c>
      <c r="F279" t="inlineStr">
        <is>
          <t>VÄSTRA GÖTALANDS LÄN</t>
        </is>
      </c>
      <c r="G279" t="inlineStr">
        <is>
          <t>MUNKEDAL</t>
        </is>
      </c>
      <c r="I279" t="n">
        <v>5.1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8576-2025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45709</v>
      </c>
      <c r="E280" s="1" t="n">
        <v>46319</v>
      </c>
      <c r="F280" t="inlineStr">
        <is>
          <t>VÄSTRA GÖTALANDS LÄN</t>
        </is>
      </c>
      <c r="G280" t="inlineStr">
        <is>
          <t>MUNKEDAL</t>
        </is>
      </c>
      <c r="I280" t="n">
        <v>2.2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6197-2023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44964</v>
      </c>
      <c r="E281" s="1" t="n">
        <v>46319</v>
      </c>
      <c r="F281" t="inlineStr">
        <is>
          <t>VÄSTRA GÖTALANDS LÄN</t>
        </is>
      </c>
      <c r="G281" t="inlineStr">
        <is>
          <t>MUNKEDAL</t>
        </is>
      </c>
      <c r="I281" t="n">
        <v>1.7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19022-2026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46131</v>
      </c>
      <c r="E282" s="1" t="n">
        <v>46319</v>
      </c>
      <c r="F282" t="inlineStr">
        <is>
          <t>VÄSTRA GÖTALANDS LÄN</t>
        </is>
      </c>
      <c r="G282" t="inlineStr">
        <is>
          <t>MUNKEDAL</t>
        </is>
      </c>
      <c r="I282" t="n">
        <v>1.4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37934-2025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45881</v>
      </c>
      <c r="E283" s="1" t="n">
        <v>46319</v>
      </c>
      <c r="F283" t="inlineStr">
        <is>
          <t>VÄSTRA GÖTALANDS LÄN</t>
        </is>
      </c>
      <c r="G283" t="inlineStr">
        <is>
          <t>MUNKEDAL</t>
        </is>
      </c>
      <c r="I283" t="n">
        <v>1.6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12243-2024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45378</v>
      </c>
      <c r="E284" s="1" t="n">
        <v>46319</v>
      </c>
      <c r="F284" t="inlineStr">
        <is>
          <t>VÄSTRA GÖTALANDS LÄN</t>
        </is>
      </c>
      <c r="G284" t="inlineStr">
        <is>
          <t>MUNKEDAL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24073-2024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45456</v>
      </c>
      <c r="E285" s="1" t="n">
        <v>46319</v>
      </c>
      <c r="F285" t="inlineStr">
        <is>
          <t>VÄSTRA GÖTALANDS LÄN</t>
        </is>
      </c>
      <c r="G285" t="inlineStr">
        <is>
          <t>MUNKEDAL</t>
        </is>
      </c>
      <c r="I285" t="n">
        <v>4.6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19593-2026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46134</v>
      </c>
      <c r="E286" s="1" t="n">
        <v>46319</v>
      </c>
      <c r="F286" t="inlineStr">
        <is>
          <t>VÄSTRA GÖTALANDS LÄN</t>
        </is>
      </c>
      <c r="G286" t="inlineStr">
        <is>
          <t>MUNKEDAL</t>
        </is>
      </c>
      <c r="I286" t="n">
        <v>2.5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38592-2025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45884</v>
      </c>
      <c r="E287" s="1" t="n">
        <v>46319</v>
      </c>
      <c r="F287" t="inlineStr">
        <is>
          <t>VÄSTRA GÖTALANDS LÄN</t>
        </is>
      </c>
      <c r="G287" t="inlineStr">
        <is>
          <t>MUNKEDAL</t>
        </is>
      </c>
      <c r="I287" t="n">
        <v>1.4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35814-2023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45148</v>
      </c>
      <c r="E288" s="1" t="n">
        <v>46319</v>
      </c>
      <c r="F288" t="inlineStr">
        <is>
          <t>VÄSTRA GÖTALANDS LÄN</t>
        </is>
      </c>
      <c r="G288" t="inlineStr">
        <is>
          <t>MUNKEDAL</t>
        </is>
      </c>
      <c r="I288" t="n">
        <v>4.3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18280-2026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46126</v>
      </c>
      <c r="E289" s="1" t="n">
        <v>46319</v>
      </c>
      <c r="F289" t="inlineStr">
        <is>
          <t>VÄSTRA GÖTALANDS LÄN</t>
        </is>
      </c>
      <c r="G289" t="inlineStr">
        <is>
          <t>MUNKEDAL</t>
        </is>
      </c>
      <c r="I289" t="n">
        <v>0.8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36113-2026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46267</v>
      </c>
      <c r="E290" s="1" t="n">
        <v>46319</v>
      </c>
      <c r="F290" t="inlineStr">
        <is>
          <t>VÄSTRA GÖTALANDS LÄN</t>
        </is>
      </c>
      <c r="G290" t="inlineStr">
        <is>
          <t>MUNKEDAL</t>
        </is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5600-2023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44960</v>
      </c>
      <c r="E291" s="1" t="n">
        <v>46319</v>
      </c>
      <c r="F291" t="inlineStr">
        <is>
          <t>VÄSTRA GÖTALANDS LÄN</t>
        </is>
      </c>
      <c r="G291" t="inlineStr">
        <is>
          <t>MUNKEDAL</t>
        </is>
      </c>
      <c r="I291" t="n">
        <v>1.2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54866-2024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45618</v>
      </c>
      <c r="E292" s="1" t="n">
        <v>46319</v>
      </c>
      <c r="F292" t="inlineStr">
        <is>
          <t>VÄSTRA GÖTALANDS LÄN</t>
        </is>
      </c>
      <c r="G292" t="inlineStr">
        <is>
          <t>MUNKEDAL</t>
        </is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36106-2026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46267</v>
      </c>
      <c r="E293" s="1" t="n">
        <v>46319</v>
      </c>
      <c r="F293" t="inlineStr">
        <is>
          <t>VÄSTRA GÖTALANDS LÄN</t>
        </is>
      </c>
      <c r="G293" t="inlineStr">
        <is>
          <t>MUNKEDAL</t>
        </is>
      </c>
      <c r="I293" t="n">
        <v>4.1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36948-2025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45874</v>
      </c>
      <c r="E294" s="1" t="n">
        <v>46319</v>
      </c>
      <c r="F294" t="inlineStr">
        <is>
          <t>VÄSTRA GÖTALANDS LÄN</t>
        </is>
      </c>
      <c r="G294" t="inlineStr">
        <is>
          <t>MUNKEDAL</t>
        </is>
      </c>
      <c r="I294" t="n">
        <v>2.7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46583-2025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45926</v>
      </c>
      <c r="E295" s="1" t="n">
        <v>46319</v>
      </c>
      <c r="F295" t="inlineStr">
        <is>
          <t>VÄSTRA GÖTALANDS LÄN</t>
        </is>
      </c>
      <c r="G295" t="inlineStr">
        <is>
          <t>MUNKEDAL</t>
        </is>
      </c>
      <c r="I295" t="n">
        <v>2.2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43129-2026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46311</v>
      </c>
      <c r="E296" s="1" t="n">
        <v>46319</v>
      </c>
      <c r="F296" t="inlineStr">
        <is>
          <t>VÄSTRA GÖTALANDS LÄN</t>
        </is>
      </c>
      <c r="G296" t="inlineStr">
        <is>
          <t>MUNKEDAL</t>
        </is>
      </c>
      <c r="I296" t="n">
        <v>2.9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13162-2023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45002</v>
      </c>
      <c r="E297" s="1" t="n">
        <v>46319</v>
      </c>
      <c r="F297" t="inlineStr">
        <is>
          <t>VÄSTRA GÖTALANDS LÄN</t>
        </is>
      </c>
      <c r="G297" t="inlineStr">
        <is>
          <t>MUNKEDAL</t>
        </is>
      </c>
      <c r="I297" t="n">
        <v>1.4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33925-2024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45522</v>
      </c>
      <c r="E298" s="1" t="n">
        <v>46319</v>
      </c>
      <c r="F298" t="inlineStr">
        <is>
          <t>VÄSTRA GÖTALANDS LÄN</t>
        </is>
      </c>
      <c r="G298" t="inlineStr">
        <is>
          <t>MUNKEDAL</t>
        </is>
      </c>
      <c r="I298" t="n">
        <v>0.6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13561-2024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45388</v>
      </c>
      <c r="E299" s="1" t="n">
        <v>46319</v>
      </c>
      <c r="F299" t="inlineStr">
        <is>
          <t>VÄSTRA GÖTALANDS LÄN</t>
        </is>
      </c>
      <c r="G299" t="inlineStr">
        <is>
          <t>MUNKEDAL</t>
        </is>
      </c>
      <c r="I299" t="n">
        <v>9.6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20456-2026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46140</v>
      </c>
      <c r="E300" s="1" t="n">
        <v>46319</v>
      </c>
      <c r="F300" t="inlineStr">
        <is>
          <t>VÄSTRA GÖTALANDS LÄN</t>
        </is>
      </c>
      <c r="G300" t="inlineStr">
        <is>
          <t>MUNKEDAL</t>
        </is>
      </c>
      <c r="I300" t="n">
        <v>6.9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59171-2022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44897</v>
      </c>
      <c r="E301" s="1" t="n">
        <v>46319</v>
      </c>
      <c r="F301" t="inlineStr">
        <is>
          <t>VÄSTRA GÖTALANDS LÄN</t>
        </is>
      </c>
      <c r="G301" t="inlineStr">
        <is>
          <t>MUNKEDAL</t>
        </is>
      </c>
      <c r="H301" t="inlineStr">
        <is>
          <t>Kyrkan</t>
        </is>
      </c>
      <c r="I301" t="n">
        <v>0.5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52555-2025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45954</v>
      </c>
      <c r="E302" s="1" t="n">
        <v>46319</v>
      </c>
      <c r="F302" t="inlineStr">
        <is>
          <t>VÄSTRA GÖTALANDS LÄN</t>
        </is>
      </c>
      <c r="G302" t="inlineStr">
        <is>
          <t>MUNKEDAL</t>
        </is>
      </c>
      <c r="I302" t="n">
        <v>0.9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49350-2025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45938</v>
      </c>
      <c r="E303" s="1" t="n">
        <v>46319</v>
      </c>
      <c r="F303" t="inlineStr">
        <is>
          <t>VÄSTRA GÖTALANDS LÄN</t>
        </is>
      </c>
      <c r="G303" t="inlineStr">
        <is>
          <t>MUNKEDAL</t>
        </is>
      </c>
      <c r="I303" t="n">
        <v>1.2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36671-2026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46272</v>
      </c>
      <c r="E304" s="1" t="n">
        <v>46319</v>
      </c>
      <c r="F304" t="inlineStr">
        <is>
          <t>VÄSTRA GÖTALANDS LÄN</t>
        </is>
      </c>
      <c r="G304" t="inlineStr">
        <is>
          <t>MUNKEDAL</t>
        </is>
      </c>
      <c r="I304" t="n">
        <v>2.9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37239-2026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46274</v>
      </c>
      <c r="E305" s="1" t="n">
        <v>46319</v>
      </c>
      <c r="F305" t="inlineStr">
        <is>
          <t>VÄSTRA GÖTALANDS LÄN</t>
        </is>
      </c>
      <c r="G305" t="inlineStr">
        <is>
          <t>MUNKEDAL</t>
        </is>
      </c>
      <c r="H305" t="inlineStr">
        <is>
          <t>Övriga Aktiebolag</t>
        </is>
      </c>
      <c r="I305" t="n">
        <v>1.2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16420-2023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45029</v>
      </c>
      <c r="E306" s="1" t="n">
        <v>46319</v>
      </c>
      <c r="F306" t="inlineStr">
        <is>
          <t>VÄSTRA GÖTALANDS LÄN</t>
        </is>
      </c>
      <c r="G306" t="inlineStr">
        <is>
          <t>MUNKEDAL</t>
        </is>
      </c>
      <c r="I306" t="n">
        <v>0.6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37084-2026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46273</v>
      </c>
      <c r="E307" s="1" t="n">
        <v>46319</v>
      </c>
      <c r="F307" t="inlineStr">
        <is>
          <t>VÄSTRA GÖTALANDS LÄN</t>
        </is>
      </c>
      <c r="G307" t="inlineStr">
        <is>
          <t>MUNKEDAL</t>
        </is>
      </c>
      <c r="I307" t="n">
        <v>1.1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23610-2023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45072</v>
      </c>
      <c r="E308" s="1" t="n">
        <v>46319</v>
      </c>
      <c r="F308" t="inlineStr">
        <is>
          <t>VÄSTRA GÖTALANDS LÄN</t>
        </is>
      </c>
      <c r="G308" t="inlineStr">
        <is>
          <t>MUNKEDAL</t>
        </is>
      </c>
      <c r="H308" t="inlineStr">
        <is>
          <t>Kommuner</t>
        </is>
      </c>
      <c r="I308" t="n">
        <v>3.2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8761-2024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45355</v>
      </c>
      <c r="E309" s="1" t="n">
        <v>46319</v>
      </c>
      <c r="F309" t="inlineStr">
        <is>
          <t>VÄSTRA GÖTALANDS LÄN</t>
        </is>
      </c>
      <c r="G309" t="inlineStr">
        <is>
          <t>MUNKEDAL</t>
        </is>
      </c>
      <c r="I309" t="n">
        <v>6.5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5498-2026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46050</v>
      </c>
      <c r="E310" s="1" t="n">
        <v>46319</v>
      </c>
      <c r="F310" t="inlineStr">
        <is>
          <t>VÄSTRA GÖTALANDS LÄN</t>
        </is>
      </c>
      <c r="G310" t="inlineStr">
        <is>
          <t>MUNKEDAL</t>
        </is>
      </c>
      <c r="H310" t="inlineStr">
        <is>
          <t>Kyrkan</t>
        </is>
      </c>
      <c r="I310" t="n">
        <v>1.1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39163-2023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45166</v>
      </c>
      <c r="E311" s="1" t="n">
        <v>46319</v>
      </c>
      <c r="F311" t="inlineStr">
        <is>
          <t>VÄSTRA GÖTALANDS LÄN</t>
        </is>
      </c>
      <c r="G311" t="inlineStr">
        <is>
          <t>MUNKEDAL</t>
        </is>
      </c>
      <c r="I311" t="n">
        <v>1.7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37612-2026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46276</v>
      </c>
      <c r="E312" s="1" t="n">
        <v>46319</v>
      </c>
      <c r="F312" t="inlineStr">
        <is>
          <t>VÄSTRA GÖTALANDS LÄN</t>
        </is>
      </c>
      <c r="G312" t="inlineStr">
        <is>
          <t>MUNKEDAL</t>
        </is>
      </c>
      <c r="I312" t="n">
        <v>11.8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20879-2026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46142</v>
      </c>
      <c r="E313" s="1" t="n">
        <v>46319</v>
      </c>
      <c r="F313" t="inlineStr">
        <is>
          <t>VÄSTRA GÖTALANDS LÄN</t>
        </is>
      </c>
      <c r="G313" t="inlineStr">
        <is>
          <t>MUNKEDAL</t>
        </is>
      </c>
      <c r="I313" t="n">
        <v>1.6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20797-2026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46141</v>
      </c>
      <c r="E314" s="1" t="n">
        <v>46319</v>
      </c>
      <c r="F314" t="inlineStr">
        <is>
          <t>VÄSTRA GÖTALANDS LÄN</t>
        </is>
      </c>
      <c r="G314" t="inlineStr">
        <is>
          <t>MUNKEDAL</t>
        </is>
      </c>
      <c r="I314" t="n">
        <v>1.7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37248-2026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46274</v>
      </c>
      <c r="E315" s="1" t="n">
        <v>46319</v>
      </c>
      <c r="F315" t="inlineStr">
        <is>
          <t>VÄSTRA GÖTALANDS LÄN</t>
        </is>
      </c>
      <c r="G315" t="inlineStr">
        <is>
          <t>MUNKEDAL</t>
        </is>
      </c>
      <c r="I315" t="n">
        <v>4.2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24180-2025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45796</v>
      </c>
      <c r="E316" s="1" t="n">
        <v>46319</v>
      </c>
      <c r="F316" t="inlineStr">
        <is>
          <t>VÄSTRA GÖTALANDS LÄN</t>
        </is>
      </c>
      <c r="G316" t="inlineStr">
        <is>
          <t>MUNKEDAL</t>
        </is>
      </c>
      <c r="I316" t="n">
        <v>4.2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7554-2024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45348</v>
      </c>
      <c r="E317" s="1" t="n">
        <v>46319</v>
      </c>
      <c r="F317" t="inlineStr">
        <is>
          <t>VÄSTRA GÖTALANDS LÄN</t>
        </is>
      </c>
      <c r="G317" t="inlineStr">
        <is>
          <t>MUNKEDAL</t>
        </is>
      </c>
      <c r="I317" t="n">
        <v>1.1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41714-2024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45560</v>
      </c>
      <c r="E318" s="1" t="n">
        <v>46319</v>
      </c>
      <c r="F318" t="inlineStr">
        <is>
          <t>VÄSTRA GÖTALANDS LÄN</t>
        </is>
      </c>
      <c r="G318" t="inlineStr">
        <is>
          <t>MUNKEDAL</t>
        </is>
      </c>
      <c r="I318" t="n">
        <v>2.1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23605-2023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45072</v>
      </c>
      <c r="E319" s="1" t="n">
        <v>46319</v>
      </c>
      <c r="F319" t="inlineStr">
        <is>
          <t>VÄSTRA GÖTALANDS LÄN</t>
        </is>
      </c>
      <c r="G319" t="inlineStr">
        <is>
          <t>MUNKEDAL</t>
        </is>
      </c>
      <c r="H319" t="inlineStr">
        <is>
          <t>Kommuner</t>
        </is>
      </c>
      <c r="I319" t="n">
        <v>1.8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3134-2025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45678</v>
      </c>
      <c r="E320" s="1" t="n">
        <v>46319</v>
      </c>
      <c r="F320" t="inlineStr">
        <is>
          <t>VÄSTRA GÖTALANDS LÄN</t>
        </is>
      </c>
      <c r="G320" t="inlineStr">
        <is>
          <t>MUNKEDAL</t>
        </is>
      </c>
      <c r="H320" t="inlineStr">
        <is>
          <t>Övriga Aktiebolag</t>
        </is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54518-2023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45233</v>
      </c>
      <c r="E321" s="1" t="n">
        <v>46319</v>
      </c>
      <c r="F321" t="inlineStr">
        <is>
          <t>VÄSTRA GÖTALANDS LÄN</t>
        </is>
      </c>
      <c r="G321" t="inlineStr">
        <is>
          <t>MUNKEDAL</t>
        </is>
      </c>
      <c r="I321" t="n">
        <v>1.3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22959-2026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46160</v>
      </c>
      <c r="E322" s="1" t="n">
        <v>46319</v>
      </c>
      <c r="F322" t="inlineStr">
        <is>
          <t>VÄSTRA GÖTALANDS LÄN</t>
        </is>
      </c>
      <c r="G322" t="inlineStr">
        <is>
          <t>MUNKEDAL</t>
        </is>
      </c>
      <c r="I322" t="n">
        <v>1.8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54875-2024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45618</v>
      </c>
      <c r="E323" s="1" t="n">
        <v>46319</v>
      </c>
      <c r="F323" t="inlineStr">
        <is>
          <t>VÄSTRA GÖTALANDS LÄN</t>
        </is>
      </c>
      <c r="G323" t="inlineStr">
        <is>
          <t>MUNKEDAL</t>
        </is>
      </c>
      <c r="I323" t="n">
        <v>0.7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421-2023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44929</v>
      </c>
      <c r="E324" s="1" t="n">
        <v>46319</v>
      </c>
      <c r="F324" t="inlineStr">
        <is>
          <t>VÄSTRA GÖTALANDS LÄN</t>
        </is>
      </c>
      <c r="G324" t="inlineStr">
        <is>
          <t>MUNKEDAL</t>
        </is>
      </c>
      <c r="I324" t="n">
        <v>4.2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60230-2024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45640</v>
      </c>
      <c r="E325" s="1" t="n">
        <v>46319</v>
      </c>
      <c r="F325" t="inlineStr">
        <is>
          <t>VÄSTRA GÖTALANDS LÄN</t>
        </is>
      </c>
      <c r="G325" t="inlineStr">
        <is>
          <t>MUNKEDAL</t>
        </is>
      </c>
      <c r="I325" t="n">
        <v>2.5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59257-2024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45636</v>
      </c>
      <c r="E326" s="1" t="n">
        <v>46319</v>
      </c>
      <c r="F326" t="inlineStr">
        <is>
          <t>VÄSTRA GÖTALANDS LÄN</t>
        </is>
      </c>
      <c r="G326" t="inlineStr">
        <is>
          <t>MUNKEDAL</t>
        </is>
      </c>
      <c r="I326" t="n">
        <v>5.8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35645-2023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45147</v>
      </c>
      <c r="E327" s="1" t="n">
        <v>46319</v>
      </c>
      <c r="F327" t="inlineStr">
        <is>
          <t>VÄSTRA GÖTALANDS LÄN</t>
        </is>
      </c>
      <c r="G327" t="inlineStr">
        <is>
          <t>MUNKEDAL</t>
        </is>
      </c>
      <c r="I327" t="n">
        <v>2.3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35139-2023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45145</v>
      </c>
      <c r="E328" s="1" t="n">
        <v>46319</v>
      </c>
      <c r="F328" t="inlineStr">
        <is>
          <t>VÄSTRA GÖTALANDS LÄN</t>
        </is>
      </c>
      <c r="G328" t="inlineStr">
        <is>
          <t>MUNKEDAL</t>
        </is>
      </c>
      <c r="I328" t="n">
        <v>1.2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4049-2025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45684</v>
      </c>
      <c r="E329" s="1" t="n">
        <v>46319</v>
      </c>
      <c r="F329" t="inlineStr">
        <is>
          <t>VÄSTRA GÖTALANDS LÄN</t>
        </is>
      </c>
      <c r="G329" t="inlineStr">
        <is>
          <t>MUNKEDAL</t>
        </is>
      </c>
      <c r="H329" t="inlineStr">
        <is>
          <t>Kommuner</t>
        </is>
      </c>
      <c r="I329" t="n">
        <v>0.5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60228-2024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45640</v>
      </c>
      <c r="E330" s="1" t="n">
        <v>46319</v>
      </c>
      <c r="F330" t="inlineStr">
        <is>
          <t>VÄSTRA GÖTALANDS LÄN</t>
        </is>
      </c>
      <c r="G330" t="inlineStr">
        <is>
          <t>MUNKEDAL</t>
        </is>
      </c>
      <c r="I330" t="n">
        <v>0.9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60231-2024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45640</v>
      </c>
      <c r="E331" s="1" t="n">
        <v>46319</v>
      </c>
      <c r="F331" t="inlineStr">
        <is>
          <t>VÄSTRA GÖTALANDS LÄN</t>
        </is>
      </c>
      <c r="G331" t="inlineStr">
        <is>
          <t>MUNKEDAL</t>
        </is>
      </c>
      <c r="I331" t="n">
        <v>2.2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7844-2022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44608</v>
      </c>
      <c r="E332" s="1" t="n">
        <v>46319</v>
      </c>
      <c r="F332" t="inlineStr">
        <is>
          <t>VÄSTRA GÖTALANDS LÄN</t>
        </is>
      </c>
      <c r="G332" t="inlineStr">
        <is>
          <t>MUNKEDAL</t>
        </is>
      </c>
      <c r="I332" t="n">
        <v>15.4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912-2025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45664</v>
      </c>
      <c r="E333" s="1" t="n">
        <v>46319</v>
      </c>
      <c r="F333" t="inlineStr">
        <is>
          <t>VÄSTRA GÖTALANDS LÄN</t>
        </is>
      </c>
      <c r="G333" t="inlineStr">
        <is>
          <t>MUNKEDAL</t>
        </is>
      </c>
      <c r="H333" t="inlineStr">
        <is>
          <t>Övriga Aktiebolag</t>
        </is>
      </c>
      <c r="I333" t="n">
        <v>18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46418-2024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45582</v>
      </c>
      <c r="E334" s="1" t="n">
        <v>46319</v>
      </c>
      <c r="F334" t="inlineStr">
        <is>
          <t>VÄSTRA GÖTALANDS LÄN</t>
        </is>
      </c>
      <c r="G334" t="inlineStr">
        <is>
          <t>MUNKEDAL</t>
        </is>
      </c>
      <c r="I334" t="n">
        <v>1.3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46434-2024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45582</v>
      </c>
      <c r="E335" s="1" t="n">
        <v>46319</v>
      </c>
      <c r="F335" t="inlineStr">
        <is>
          <t>VÄSTRA GÖTALANDS LÄN</t>
        </is>
      </c>
      <c r="G335" t="inlineStr">
        <is>
          <t>MUNKEDAL</t>
        </is>
      </c>
      <c r="I335" t="n">
        <v>0.7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28667-2022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44748</v>
      </c>
      <c r="E336" s="1" t="n">
        <v>46319</v>
      </c>
      <c r="F336" t="inlineStr">
        <is>
          <t>VÄSTRA GÖTALANDS LÄN</t>
        </is>
      </c>
      <c r="G336" t="inlineStr">
        <is>
          <t>MUNKEDAL</t>
        </is>
      </c>
      <c r="I336" t="n">
        <v>5.4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30308-2022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44760</v>
      </c>
      <c r="E337" s="1" t="n">
        <v>46319</v>
      </c>
      <c r="F337" t="inlineStr">
        <is>
          <t>VÄSTRA GÖTALANDS LÄN</t>
        </is>
      </c>
      <c r="G337" t="inlineStr">
        <is>
          <t>MUNKEDAL</t>
        </is>
      </c>
      <c r="I337" t="n">
        <v>8.300000000000001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33192-2023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45127</v>
      </c>
      <c r="E338" s="1" t="n">
        <v>46319</v>
      </c>
      <c r="F338" t="inlineStr">
        <is>
          <t>VÄSTRA GÖTALANDS LÄN</t>
        </is>
      </c>
      <c r="G338" t="inlineStr">
        <is>
          <t>MUNKEDAL</t>
        </is>
      </c>
      <c r="I338" t="n">
        <v>7.8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13303-2023</t>
        </is>
      </c>
      <c r="B339" t="inlineStr">
        <is>
          <t>avverkningsanmälan</t>
        </is>
      </c>
      <c r="C339" t="inlineStr">
        <is>
          <t>Avverkning för annat ändamål</t>
        </is>
      </c>
      <c r="D339" s="1" t="n">
        <v>45005</v>
      </c>
      <c r="E339" s="1" t="n">
        <v>46319</v>
      </c>
      <c r="F339" t="inlineStr">
        <is>
          <t>VÄSTRA GÖTALANDS LÄN</t>
        </is>
      </c>
      <c r="G339" t="inlineStr">
        <is>
          <t>MUNKEDAL</t>
        </is>
      </c>
      <c r="I339" t="n">
        <v>1.5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9739-2023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44984</v>
      </c>
      <c r="E340" s="1" t="n">
        <v>46319</v>
      </c>
      <c r="F340" t="inlineStr">
        <is>
          <t>VÄSTRA GÖTALANDS LÄN</t>
        </is>
      </c>
      <c r="G340" t="inlineStr">
        <is>
          <t>MUNKEDAL</t>
        </is>
      </c>
      <c r="I340" t="n">
        <v>1.2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29956-2024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45488</v>
      </c>
      <c r="E341" s="1" t="n">
        <v>46319</v>
      </c>
      <c r="F341" t="inlineStr">
        <is>
          <t>VÄSTRA GÖTALANDS LÄN</t>
        </is>
      </c>
      <c r="G341" t="inlineStr">
        <is>
          <t>MUNKEDAL</t>
        </is>
      </c>
      <c r="I341" t="n">
        <v>0.9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30131-2024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45489</v>
      </c>
      <c r="E342" s="1" t="n">
        <v>46319</v>
      </c>
      <c r="F342" t="inlineStr">
        <is>
          <t>VÄSTRA GÖTALANDS LÄN</t>
        </is>
      </c>
      <c r="G342" t="inlineStr">
        <is>
          <t>MUNKEDAL</t>
        </is>
      </c>
      <c r="I342" t="n">
        <v>2.6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2954-2025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45678</v>
      </c>
      <c r="E343" s="1" t="n">
        <v>46319</v>
      </c>
      <c r="F343" t="inlineStr">
        <is>
          <t>VÄSTRA GÖTALANDS LÄN</t>
        </is>
      </c>
      <c r="G343" t="inlineStr">
        <is>
          <t>MUNKEDAL</t>
        </is>
      </c>
      <c r="I343" t="n">
        <v>4.2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59160-2022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44897</v>
      </c>
      <c r="E344" s="1" t="n">
        <v>46319</v>
      </c>
      <c r="F344" t="inlineStr">
        <is>
          <t>VÄSTRA GÖTALANDS LÄN</t>
        </is>
      </c>
      <c r="G344" t="inlineStr">
        <is>
          <t>MUNKEDAL</t>
        </is>
      </c>
      <c r="H344" t="inlineStr">
        <is>
          <t>Kyrkan</t>
        </is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1526-2023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44935</v>
      </c>
      <c r="E345" s="1" t="n">
        <v>46319</v>
      </c>
      <c r="F345" t="inlineStr">
        <is>
          <t>VÄSTRA GÖTALANDS LÄN</t>
        </is>
      </c>
      <c r="G345" t="inlineStr">
        <is>
          <t>MUNKEDAL</t>
        </is>
      </c>
      <c r="I345" t="n">
        <v>1.5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13658-2025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45736</v>
      </c>
      <c r="E346" s="1" t="n">
        <v>46319</v>
      </c>
      <c r="F346" t="inlineStr">
        <is>
          <t>VÄSTRA GÖTALANDS LÄN</t>
        </is>
      </c>
      <c r="G346" t="inlineStr">
        <is>
          <t>MUNKEDAL</t>
        </is>
      </c>
      <c r="H346" t="inlineStr">
        <is>
          <t>Övriga Aktiebolag</t>
        </is>
      </c>
      <c r="I346" t="n">
        <v>2.2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11812-2025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45728</v>
      </c>
      <c r="E347" s="1" t="n">
        <v>46319</v>
      </c>
      <c r="F347" t="inlineStr">
        <is>
          <t>VÄSTRA GÖTALANDS LÄN</t>
        </is>
      </c>
      <c r="G347" t="inlineStr">
        <is>
          <t>MUNKEDAL</t>
        </is>
      </c>
      <c r="H347" t="inlineStr">
        <is>
          <t>Kommuner</t>
        </is>
      </c>
      <c r="I347" t="n">
        <v>2.2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20220-2023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45055</v>
      </c>
      <c r="E348" s="1" t="n">
        <v>46319</v>
      </c>
      <c r="F348" t="inlineStr">
        <is>
          <t>VÄSTRA GÖTALANDS LÄN</t>
        </is>
      </c>
      <c r="G348" t="inlineStr">
        <is>
          <t>MUNKEDAL</t>
        </is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62331-2023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45267</v>
      </c>
      <c r="E349" s="1" t="n">
        <v>46319</v>
      </c>
      <c r="F349" t="inlineStr">
        <is>
          <t>VÄSTRA GÖTALANDS LÄN</t>
        </is>
      </c>
      <c r="G349" t="inlineStr">
        <is>
          <t>MUNKEDAL</t>
        </is>
      </c>
      <c r="I349" t="n">
        <v>5.2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6723-2025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45700</v>
      </c>
      <c r="E350" s="1" t="n">
        <v>46319</v>
      </c>
      <c r="F350" t="inlineStr">
        <is>
          <t>VÄSTRA GÖTALANDS LÄN</t>
        </is>
      </c>
      <c r="G350" t="inlineStr">
        <is>
          <t>MUNKEDAL</t>
        </is>
      </c>
      <c r="I350" t="n">
        <v>3.3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47675-2023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45203</v>
      </c>
      <c r="E351" s="1" t="n">
        <v>46319</v>
      </c>
      <c r="F351" t="inlineStr">
        <is>
          <t>VÄSTRA GÖTALANDS LÄN</t>
        </is>
      </c>
      <c r="G351" t="inlineStr">
        <is>
          <t>MUNKEDAL</t>
        </is>
      </c>
      <c r="I351" t="n">
        <v>14.1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22518-2023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45071</v>
      </c>
      <c r="E352" s="1" t="n">
        <v>46319</v>
      </c>
      <c r="F352" t="inlineStr">
        <is>
          <t>VÄSTRA GÖTALANDS LÄN</t>
        </is>
      </c>
      <c r="G352" t="inlineStr">
        <is>
          <t>MUNKEDAL</t>
        </is>
      </c>
      <c r="H352" t="inlineStr">
        <is>
          <t>Naturvårdsverket</t>
        </is>
      </c>
      <c r="I352" t="n">
        <v>15.8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19289-2025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45769</v>
      </c>
      <c r="E353" s="1" t="n">
        <v>46319</v>
      </c>
      <c r="F353" t="inlineStr">
        <is>
          <t>VÄSTRA GÖTALANDS LÄN</t>
        </is>
      </c>
      <c r="G353" t="inlineStr">
        <is>
          <t>MUNKEDAL</t>
        </is>
      </c>
      <c r="I353" t="n">
        <v>1.9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30555-2023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45111</v>
      </c>
      <c r="E354" s="1" t="n">
        <v>46319</v>
      </c>
      <c r="F354" t="inlineStr">
        <is>
          <t>VÄSTRA GÖTALANDS LÄN</t>
        </is>
      </c>
      <c r="G354" t="inlineStr">
        <is>
          <t>MUNKEDAL</t>
        </is>
      </c>
      <c r="I354" t="n">
        <v>0.7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67233-2021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44523</v>
      </c>
      <c r="E355" s="1" t="n">
        <v>46319</v>
      </c>
      <c r="F355" t="inlineStr">
        <is>
          <t>VÄSTRA GÖTALANDS LÄN</t>
        </is>
      </c>
      <c r="G355" t="inlineStr">
        <is>
          <t>MUNKEDAL</t>
        </is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4259-2022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44588</v>
      </c>
      <c r="E356" s="1" t="n">
        <v>46319</v>
      </c>
      <c r="F356" t="inlineStr">
        <is>
          <t>VÄSTRA GÖTALANDS LÄN</t>
        </is>
      </c>
      <c r="G356" t="inlineStr">
        <is>
          <t>MUNKEDAL</t>
        </is>
      </c>
      <c r="I356" t="n">
        <v>2.7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2545-2024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45313</v>
      </c>
      <c r="E357" s="1" t="n">
        <v>46319</v>
      </c>
      <c r="F357" t="inlineStr">
        <is>
          <t>VÄSTRA GÖTALANDS LÄN</t>
        </is>
      </c>
      <c r="G357" t="inlineStr">
        <is>
          <t>MUNKEDAL</t>
        </is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9720-2024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45362</v>
      </c>
      <c r="E358" s="1" t="n">
        <v>46319</v>
      </c>
      <c r="F358" t="inlineStr">
        <is>
          <t>VÄSTRA GÖTALANDS LÄN</t>
        </is>
      </c>
      <c r="G358" t="inlineStr">
        <is>
          <t>MUNKEDAL</t>
        </is>
      </c>
      <c r="I358" t="n">
        <v>1.7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448-2024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45296</v>
      </c>
      <c r="E359" s="1" t="n">
        <v>46319</v>
      </c>
      <c r="F359" t="inlineStr">
        <is>
          <t>VÄSTRA GÖTALANDS LÄN</t>
        </is>
      </c>
      <c r="G359" t="inlineStr">
        <is>
          <t>MUNKEDAL</t>
        </is>
      </c>
      <c r="H359" t="inlineStr">
        <is>
          <t>Kyrkan</t>
        </is>
      </c>
      <c r="I359" t="n">
        <v>3.2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11268-2024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45371</v>
      </c>
      <c r="E360" s="1" t="n">
        <v>46319</v>
      </c>
      <c r="F360" t="inlineStr">
        <is>
          <t>VÄSTRA GÖTALANDS LÄN</t>
        </is>
      </c>
      <c r="G360" t="inlineStr">
        <is>
          <t>MUNKEDAL</t>
        </is>
      </c>
      <c r="I360" t="n">
        <v>4.1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64879-2023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45282</v>
      </c>
      <c r="E361" s="1" t="n">
        <v>46319</v>
      </c>
      <c r="F361" t="inlineStr">
        <is>
          <t>VÄSTRA GÖTALANDS LÄN</t>
        </is>
      </c>
      <c r="G361" t="inlineStr">
        <is>
          <t>MUNKEDAL</t>
        </is>
      </c>
      <c r="I361" t="n">
        <v>2.5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2483-2022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44579</v>
      </c>
      <c r="E362" s="1" t="n">
        <v>46319</v>
      </c>
      <c r="F362" t="inlineStr">
        <is>
          <t>VÄSTRA GÖTALANDS LÄN</t>
        </is>
      </c>
      <c r="G362" t="inlineStr">
        <is>
          <t>MUNKEDAL</t>
        </is>
      </c>
      <c r="H362" t="inlineStr">
        <is>
          <t>Kyrkan</t>
        </is>
      </c>
      <c r="I362" t="n">
        <v>3.2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35685-2024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45532</v>
      </c>
      <c r="E363" s="1" t="n">
        <v>46319</v>
      </c>
      <c r="F363" t="inlineStr">
        <is>
          <t>VÄSTRA GÖTALANDS LÄN</t>
        </is>
      </c>
      <c r="G363" t="inlineStr">
        <is>
          <t>MUNKEDAL</t>
        </is>
      </c>
      <c r="I363" t="n">
        <v>6.1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15466-2025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45747</v>
      </c>
      <c r="E364" s="1" t="n">
        <v>46319</v>
      </c>
      <c r="F364" t="inlineStr">
        <is>
          <t>VÄSTRA GÖTALANDS LÄN</t>
        </is>
      </c>
      <c r="G364" t="inlineStr">
        <is>
          <t>MUNKEDAL</t>
        </is>
      </c>
      <c r="I364" t="n">
        <v>0.5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59150-2022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44897</v>
      </c>
      <c r="E365" s="1" t="n">
        <v>46319</v>
      </c>
      <c r="F365" t="inlineStr">
        <is>
          <t>VÄSTRA GÖTALANDS LÄN</t>
        </is>
      </c>
      <c r="G365" t="inlineStr">
        <is>
          <t>MUNKEDAL</t>
        </is>
      </c>
      <c r="H365" t="inlineStr">
        <is>
          <t>Kyrkan</t>
        </is>
      </c>
      <c r="I365" t="n">
        <v>0.8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33194-2023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45127</v>
      </c>
      <c r="E366" s="1" t="n">
        <v>46319</v>
      </c>
      <c r="F366" t="inlineStr">
        <is>
          <t>VÄSTRA GÖTALANDS LÄN</t>
        </is>
      </c>
      <c r="G366" t="inlineStr">
        <is>
          <t>MUNKEDAL</t>
        </is>
      </c>
      <c r="I366" t="n">
        <v>1.5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53514-2024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45614</v>
      </c>
      <c r="E367" s="1" t="n">
        <v>46319</v>
      </c>
      <c r="F367" t="inlineStr">
        <is>
          <t>VÄSTRA GÖTALANDS LÄN</t>
        </is>
      </c>
      <c r="G367" t="inlineStr">
        <is>
          <t>MUNKEDAL</t>
        </is>
      </c>
      <c r="I367" t="n">
        <v>7.7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60227-2024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45640</v>
      </c>
      <c r="E368" s="1" t="n">
        <v>46319</v>
      </c>
      <c r="F368" t="inlineStr">
        <is>
          <t>VÄSTRA GÖTALANDS LÄN</t>
        </is>
      </c>
      <c r="G368" t="inlineStr">
        <is>
          <t>MUNKEDAL</t>
        </is>
      </c>
      <c r="I368" t="n">
        <v>0.9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28995-2022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44749</v>
      </c>
      <c r="E369" s="1" t="n">
        <v>46319</v>
      </c>
      <c r="F369" t="inlineStr">
        <is>
          <t>VÄSTRA GÖTALANDS LÄN</t>
        </is>
      </c>
      <c r="G369" t="inlineStr">
        <is>
          <t>MUNKEDAL</t>
        </is>
      </c>
      <c r="I369" t="n">
        <v>0.9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29707-2022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44755</v>
      </c>
      <c r="E370" s="1" t="n">
        <v>46319</v>
      </c>
      <c r="F370" t="inlineStr">
        <is>
          <t>VÄSTRA GÖTALANDS LÄN</t>
        </is>
      </c>
      <c r="G370" t="inlineStr">
        <is>
          <t>MUNKEDAL</t>
        </is>
      </c>
      <c r="I370" t="n">
        <v>4.9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45165-2024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45575</v>
      </c>
      <c r="E371" s="1" t="n">
        <v>46319</v>
      </c>
      <c r="F371" t="inlineStr">
        <is>
          <t>VÄSTRA GÖTALANDS LÄN</t>
        </is>
      </c>
      <c r="G371" t="inlineStr">
        <is>
          <t>MUNKEDAL</t>
        </is>
      </c>
      <c r="H371" t="inlineStr">
        <is>
          <t>Naturvårdsverket</t>
        </is>
      </c>
      <c r="I371" t="n">
        <v>1.5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44478-2023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45189</v>
      </c>
      <c r="E372" s="1" t="n">
        <v>46319</v>
      </c>
      <c r="F372" t="inlineStr">
        <is>
          <t>VÄSTRA GÖTALANDS LÄN</t>
        </is>
      </c>
      <c r="G372" t="inlineStr">
        <is>
          <t>MUNKEDAL</t>
        </is>
      </c>
      <c r="I372" t="n">
        <v>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49574-2024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45596</v>
      </c>
      <c r="E373" s="1" t="n">
        <v>46319</v>
      </c>
      <c r="F373" t="inlineStr">
        <is>
          <t>VÄSTRA GÖTALANDS LÄN</t>
        </is>
      </c>
      <c r="G373" t="inlineStr">
        <is>
          <t>MUNKEDAL</t>
        </is>
      </c>
      <c r="I373" t="n">
        <v>1.7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49576-2024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45596</v>
      </c>
      <c r="E374" s="1" t="n">
        <v>46319</v>
      </c>
      <c r="F374" t="inlineStr">
        <is>
          <t>VÄSTRA GÖTALANDS LÄN</t>
        </is>
      </c>
      <c r="G374" t="inlineStr">
        <is>
          <t>MUNKEDAL</t>
        </is>
      </c>
      <c r="I374" t="n">
        <v>0.8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46440-2024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45582</v>
      </c>
      <c r="E375" s="1" t="n">
        <v>46319</v>
      </c>
      <c r="F375" t="inlineStr">
        <is>
          <t>VÄSTRA GÖTALANDS LÄN</t>
        </is>
      </c>
      <c r="G375" t="inlineStr">
        <is>
          <t>MUNKEDAL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41716-2024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45560</v>
      </c>
      <c r="E376" s="1" t="n">
        <v>46319</v>
      </c>
      <c r="F376" t="inlineStr">
        <is>
          <t>VÄSTRA GÖTALANDS LÄN</t>
        </is>
      </c>
      <c r="G376" t="inlineStr">
        <is>
          <t>MUNKEDAL</t>
        </is>
      </c>
      <c r="I376" t="n">
        <v>0.9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28692-2024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45478</v>
      </c>
      <c r="E377" s="1" t="n">
        <v>46319</v>
      </c>
      <c r="F377" t="inlineStr">
        <is>
          <t>VÄSTRA GÖTALANDS LÄN</t>
        </is>
      </c>
      <c r="G377" t="inlineStr">
        <is>
          <t>MUNKEDAL</t>
        </is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5139-2022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44593</v>
      </c>
      <c r="E378" s="1" t="n">
        <v>46319</v>
      </c>
      <c r="F378" t="inlineStr">
        <is>
          <t>VÄSTRA GÖTALANDS LÄN</t>
        </is>
      </c>
      <c r="G378" t="inlineStr">
        <is>
          <t>MUNKEDAL</t>
        </is>
      </c>
      <c r="H378" t="inlineStr">
        <is>
          <t>Övriga Aktiebolag</t>
        </is>
      </c>
      <c r="I378" t="n">
        <v>1.6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4362-2024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45325</v>
      </c>
      <c r="E379" s="1" t="n">
        <v>46319</v>
      </c>
      <c r="F379" t="inlineStr">
        <is>
          <t>VÄSTRA GÖTALANDS LÄN</t>
        </is>
      </c>
      <c r="G379" t="inlineStr">
        <is>
          <t>MUNKEDAL</t>
        </is>
      </c>
      <c r="I379" t="n">
        <v>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13661-2025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45736</v>
      </c>
      <c r="E380" s="1" t="n">
        <v>46319</v>
      </c>
      <c r="F380" t="inlineStr">
        <is>
          <t>VÄSTRA GÖTALANDS LÄN</t>
        </is>
      </c>
      <c r="G380" t="inlineStr">
        <is>
          <t>MUNKEDAL</t>
        </is>
      </c>
      <c r="H380" t="inlineStr">
        <is>
          <t>Övriga Aktiebolag</t>
        </is>
      </c>
      <c r="I380" t="n">
        <v>2.7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49912-2023</t>
        </is>
      </c>
      <c r="B381" t="inlineStr">
        <is>
          <t>avverkningsanmälan</t>
        </is>
      </c>
      <c r="C381" t="inlineStr">
        <is>
          <t>Avverkning för annat ändamål</t>
        </is>
      </c>
      <c r="D381" s="1" t="n">
        <v>45214</v>
      </c>
      <c r="E381" s="1" t="n">
        <v>46319</v>
      </c>
      <c r="F381" t="inlineStr">
        <is>
          <t>VÄSTRA GÖTALANDS LÄN</t>
        </is>
      </c>
      <c r="G381" t="inlineStr">
        <is>
          <t>MUNKEDAL</t>
        </is>
      </c>
      <c r="I381" t="n">
        <v>2.4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27850-2023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45093</v>
      </c>
      <c r="E382" s="1" t="n">
        <v>46319</v>
      </c>
      <c r="F382" t="inlineStr">
        <is>
          <t>VÄSTRA GÖTALANDS LÄN</t>
        </is>
      </c>
      <c r="G382" t="inlineStr">
        <is>
          <t>MUNKEDAL</t>
        </is>
      </c>
      <c r="H382" t="inlineStr">
        <is>
          <t>Kyrkan</t>
        </is>
      </c>
      <c r="I382" t="n">
        <v>7.1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35647-2023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45147</v>
      </c>
      <c r="E383" s="1" t="n">
        <v>46319</v>
      </c>
      <c r="F383" t="inlineStr">
        <is>
          <t>VÄSTRA GÖTALANDS LÄN</t>
        </is>
      </c>
      <c r="G383" t="inlineStr">
        <is>
          <t>MUNKEDAL</t>
        </is>
      </c>
      <c r="I383" t="n">
        <v>4.4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34222-2023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45138</v>
      </c>
      <c r="E384" s="1" t="n">
        <v>46319</v>
      </c>
      <c r="F384" t="inlineStr">
        <is>
          <t>VÄSTRA GÖTALANDS LÄN</t>
        </is>
      </c>
      <c r="G384" t="inlineStr">
        <is>
          <t>MUNKEDAL</t>
        </is>
      </c>
      <c r="I384" t="n">
        <v>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18278-2025</t>
        </is>
      </c>
      <c r="B385" t="inlineStr">
        <is>
          <t>avverkningsanmälan</t>
        </is>
      </c>
      <c r="C385" t="inlineStr">
        <is>
          <t>Avverkning för annat ändamål</t>
        </is>
      </c>
      <c r="D385" s="1" t="n">
        <v>45762</v>
      </c>
      <c r="E385" s="1" t="n">
        <v>46319</v>
      </c>
      <c r="F385" t="inlineStr">
        <is>
          <t>VÄSTRA GÖTALANDS LÄN</t>
        </is>
      </c>
      <c r="G385" t="inlineStr">
        <is>
          <t>MUNKEDAL</t>
        </is>
      </c>
      <c r="I385" t="n">
        <v>2.5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37419-2023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45155</v>
      </c>
      <c r="E386" s="1" t="n">
        <v>46319</v>
      </c>
      <c r="F386" t="inlineStr">
        <is>
          <t>VÄSTRA GÖTALANDS LÄN</t>
        </is>
      </c>
      <c r="G386" t="inlineStr">
        <is>
          <t>MUNKEDAL</t>
        </is>
      </c>
      <c r="H386" t="inlineStr">
        <is>
          <t>Övriga Aktiebolag</t>
        </is>
      </c>
      <c r="I386" t="n">
        <v>1.9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36906-2023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45153</v>
      </c>
      <c r="E387" s="1" t="n">
        <v>46319</v>
      </c>
      <c r="F387" t="inlineStr">
        <is>
          <t>VÄSTRA GÖTALANDS LÄN</t>
        </is>
      </c>
      <c r="G387" t="inlineStr">
        <is>
          <t>MUNKEDAL</t>
        </is>
      </c>
      <c r="H387" t="inlineStr">
        <is>
          <t>Övriga Aktiebolag</t>
        </is>
      </c>
      <c r="I387" t="n">
        <v>2.3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16105-2025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45750</v>
      </c>
      <c r="E388" s="1" t="n">
        <v>46319</v>
      </c>
      <c r="F388" t="inlineStr">
        <is>
          <t>VÄSTRA GÖTALANDS LÄN</t>
        </is>
      </c>
      <c r="G388" t="inlineStr">
        <is>
          <t>MUNKEDAL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2792-2024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45314</v>
      </c>
      <c r="E389" s="1" t="n">
        <v>46319</v>
      </c>
      <c r="F389" t="inlineStr">
        <is>
          <t>VÄSTRA GÖTALANDS LÄN</t>
        </is>
      </c>
      <c r="G389" t="inlineStr">
        <is>
          <t>MUNKEDAL</t>
        </is>
      </c>
      <c r="I389" t="n">
        <v>2.7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6217-2024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45337</v>
      </c>
      <c r="E390" s="1" t="n">
        <v>46319</v>
      </c>
      <c r="F390" t="inlineStr">
        <is>
          <t>VÄSTRA GÖTALANDS LÄN</t>
        </is>
      </c>
      <c r="G390" t="inlineStr">
        <is>
          <t>MUNKEDAL</t>
        </is>
      </c>
      <c r="I390" t="n">
        <v>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22857-2022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44715</v>
      </c>
      <c r="E391" s="1" t="n">
        <v>46319</v>
      </c>
      <c r="F391" t="inlineStr">
        <is>
          <t>VÄSTRA GÖTALANDS LÄN</t>
        </is>
      </c>
      <c r="G391" t="inlineStr">
        <is>
          <t>MUNKEDAL</t>
        </is>
      </c>
      <c r="I391" t="n">
        <v>2.8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219-2024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45293</v>
      </c>
      <c r="E392" s="1" t="n">
        <v>46319</v>
      </c>
      <c r="F392" t="inlineStr">
        <is>
          <t>VÄSTRA GÖTALANDS LÄN</t>
        </is>
      </c>
      <c r="G392" t="inlineStr">
        <is>
          <t>MUNKEDAL</t>
        </is>
      </c>
      <c r="H392" t="inlineStr">
        <is>
          <t>Övriga Aktiebolag</t>
        </is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37941-2023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45160</v>
      </c>
      <c r="E393" s="1" t="n">
        <v>46319</v>
      </c>
      <c r="F393" t="inlineStr">
        <is>
          <t>VÄSTRA GÖTALANDS LÄN</t>
        </is>
      </c>
      <c r="G393" t="inlineStr">
        <is>
          <t>MUNKEDAL</t>
        </is>
      </c>
      <c r="I393" t="n">
        <v>5.1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37327-2022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44806</v>
      </c>
      <c r="E394" s="1" t="n">
        <v>46319</v>
      </c>
      <c r="F394" t="inlineStr">
        <is>
          <t>VÄSTRA GÖTALANDS LÄN</t>
        </is>
      </c>
      <c r="G394" t="inlineStr">
        <is>
          <t>MUNKEDAL</t>
        </is>
      </c>
      <c r="H394" t="inlineStr">
        <is>
          <t>Övriga Aktiebolag</t>
        </is>
      </c>
      <c r="I394" t="n">
        <v>25.2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50038-2023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45215</v>
      </c>
      <c r="E395" s="1" t="n">
        <v>46319</v>
      </c>
      <c r="F395" t="inlineStr">
        <is>
          <t>VÄSTRA GÖTALANDS LÄN</t>
        </is>
      </c>
      <c r="G395" t="inlineStr">
        <is>
          <t>MUNKEDAL</t>
        </is>
      </c>
      <c r="I395" t="n">
        <v>0.9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61885-2023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45264</v>
      </c>
      <c r="E396" s="1" t="n">
        <v>46319</v>
      </c>
      <c r="F396" t="inlineStr">
        <is>
          <t>VÄSTRA GÖTALANDS LÄN</t>
        </is>
      </c>
      <c r="G396" t="inlineStr">
        <is>
          <t>MUNKEDAL</t>
        </is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21125-2022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44704</v>
      </c>
      <c r="E397" s="1" t="n">
        <v>46319</v>
      </c>
      <c r="F397" t="inlineStr">
        <is>
          <t>VÄSTRA GÖTALANDS LÄN</t>
        </is>
      </c>
      <c r="G397" t="inlineStr">
        <is>
          <t>MUNKEDAL</t>
        </is>
      </c>
      <c r="I397" t="n">
        <v>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216-2024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45293</v>
      </c>
      <c r="E398" s="1" t="n">
        <v>46319</v>
      </c>
      <c r="F398" t="inlineStr">
        <is>
          <t>VÄSTRA GÖTALANDS LÄN</t>
        </is>
      </c>
      <c r="G398" t="inlineStr">
        <is>
          <t>MUNKEDAL</t>
        </is>
      </c>
      <c r="H398" t="inlineStr">
        <is>
          <t>Övriga Aktiebolag</t>
        </is>
      </c>
      <c r="I398" t="n">
        <v>1.6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546-2024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45296</v>
      </c>
      <c r="E399" s="1" t="n">
        <v>46319</v>
      </c>
      <c r="F399" t="inlineStr">
        <is>
          <t>VÄSTRA GÖTALANDS LÄN</t>
        </is>
      </c>
      <c r="G399" t="inlineStr">
        <is>
          <t>MUNKEDAL</t>
        </is>
      </c>
      <c r="H399" t="inlineStr">
        <is>
          <t>Kyrkan</t>
        </is>
      </c>
      <c r="I399" t="n">
        <v>1.3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51409-2022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44866</v>
      </c>
      <c r="E400" s="1" t="n">
        <v>46319</v>
      </c>
      <c r="F400" t="inlineStr">
        <is>
          <t>VÄSTRA GÖTALANDS LÄN</t>
        </is>
      </c>
      <c r="G400" t="inlineStr">
        <is>
          <t>MUNKEDAL</t>
        </is>
      </c>
      <c r="I400" t="n">
        <v>2.4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26699-2024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45470</v>
      </c>
      <c r="E401" s="1" t="n">
        <v>46319</v>
      </c>
      <c r="F401" t="inlineStr">
        <is>
          <t>VÄSTRA GÖTALANDS LÄN</t>
        </is>
      </c>
      <c r="G401" t="inlineStr">
        <is>
          <t>MUNKEDAL</t>
        </is>
      </c>
      <c r="I401" t="n">
        <v>5.4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54955-2024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45619</v>
      </c>
      <c r="E402" s="1" t="n">
        <v>46319</v>
      </c>
      <c r="F402" t="inlineStr">
        <is>
          <t>VÄSTRA GÖTALANDS LÄN</t>
        </is>
      </c>
      <c r="G402" t="inlineStr">
        <is>
          <t>MUNKEDAL</t>
        </is>
      </c>
      <c r="I402" t="n">
        <v>1.2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54001-2023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45231</v>
      </c>
      <c r="E403" s="1" t="n">
        <v>46319</v>
      </c>
      <c r="F403" t="inlineStr">
        <is>
          <t>VÄSTRA GÖTALANDS LÄN</t>
        </is>
      </c>
      <c r="G403" t="inlineStr">
        <is>
          <t>MUNKEDAL</t>
        </is>
      </c>
      <c r="I403" t="n">
        <v>8.699999999999999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45469-2023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45188</v>
      </c>
      <c r="E404" s="1" t="n">
        <v>46319</v>
      </c>
      <c r="F404" t="inlineStr">
        <is>
          <t>VÄSTRA GÖTALANDS LÄN</t>
        </is>
      </c>
      <c r="G404" t="inlineStr">
        <is>
          <t>MUNKEDAL</t>
        </is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41521-2023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45175</v>
      </c>
      <c r="E405" s="1" t="n">
        <v>46319</v>
      </c>
      <c r="F405" t="inlineStr">
        <is>
          <t>VÄSTRA GÖTALANDS LÄN</t>
        </is>
      </c>
      <c r="G405" t="inlineStr">
        <is>
          <t>MUNKEDAL</t>
        </is>
      </c>
      <c r="I405" t="n">
        <v>2.4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11262-2024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45371</v>
      </c>
      <c r="E406" s="1" t="n">
        <v>46319</v>
      </c>
      <c r="F406" t="inlineStr">
        <is>
          <t>VÄSTRA GÖTALANDS LÄN</t>
        </is>
      </c>
      <c r="G406" t="inlineStr">
        <is>
          <t>MUNKEDAL</t>
        </is>
      </c>
      <c r="I406" t="n">
        <v>0.5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3858-2024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45322</v>
      </c>
      <c r="E407" s="1" t="n">
        <v>46319</v>
      </c>
      <c r="F407" t="inlineStr">
        <is>
          <t>VÄSTRA GÖTALANDS LÄN</t>
        </is>
      </c>
      <c r="G407" t="inlineStr">
        <is>
          <t>MUNKEDAL</t>
        </is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15300-2024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45400</v>
      </c>
      <c r="E408" s="1" t="n">
        <v>46319</v>
      </c>
      <c r="F408" t="inlineStr">
        <is>
          <t>VÄSTRA GÖTALANDS LÄN</t>
        </is>
      </c>
      <c r="G408" t="inlineStr">
        <is>
          <t>MUNKEDAL</t>
        </is>
      </c>
      <c r="I408" t="n">
        <v>0.8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7389-2022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44606</v>
      </c>
      <c r="E409" s="1" t="n">
        <v>46319</v>
      </c>
      <c r="F409" t="inlineStr">
        <is>
          <t>VÄSTRA GÖTALANDS LÄN</t>
        </is>
      </c>
      <c r="G409" t="inlineStr">
        <is>
          <t>MUNKEDAL</t>
        </is>
      </c>
      <c r="I409" t="n">
        <v>6.9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30133-2024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45489</v>
      </c>
      <c r="E410" s="1" t="n">
        <v>46319</v>
      </c>
      <c r="F410" t="inlineStr">
        <is>
          <t>VÄSTRA GÖTALANDS LÄN</t>
        </is>
      </c>
      <c r="G410" t="inlineStr">
        <is>
          <t>MUNKEDAL</t>
        </is>
      </c>
      <c r="I410" t="n">
        <v>10.3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62090-2023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45266</v>
      </c>
      <c r="E411" s="1" t="n">
        <v>46319</v>
      </c>
      <c r="F411" t="inlineStr">
        <is>
          <t>VÄSTRA GÖTALANDS LÄN</t>
        </is>
      </c>
      <c r="G411" t="inlineStr">
        <is>
          <t>MUNKEDAL</t>
        </is>
      </c>
      <c r="I411" t="n">
        <v>1.6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S 2558-2022</t>
        </is>
      </c>
      <c r="B412" t="inlineStr">
        <is>
          <t>samrådsanmälan</t>
        </is>
      </c>
      <c r="C412" t="inlineStr">
        <is>
          <t>Annan skogsbruksåtgärd</t>
        </is>
      </c>
      <c r="D412" s="1" t="n">
        <v>44697</v>
      </c>
      <c r="E412" s="1" t="n">
        <v>46319</v>
      </c>
      <c r="F412" t="inlineStr">
        <is>
          <t>VÄSTRA GÖTALANDS LÄN</t>
        </is>
      </c>
      <c r="G412" t="inlineStr">
        <is>
          <t>MUNKEDAL</t>
        </is>
      </c>
      <c r="H412" t="inlineStr">
        <is>
          <t>Övriga Aktiebolag</t>
        </is>
      </c>
      <c r="I412" t="n">
        <v>12.5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S 2428-2024</t>
        </is>
      </c>
      <c r="B413" t="inlineStr">
        <is>
          <t>samrådsanmälan</t>
        </is>
      </c>
      <c r="C413" t="inlineStr">
        <is>
          <t>Askåterföring</t>
        </is>
      </c>
      <c r="D413" s="1" t="n">
        <v>45469</v>
      </c>
      <c r="E413" s="1" t="n">
        <v>46319</v>
      </c>
      <c r="F413" t="inlineStr">
        <is>
          <t>VÄSTRA GÖTALANDS LÄN</t>
        </is>
      </c>
      <c r="G413" t="inlineStr">
        <is>
          <t>MUNKEDAL</t>
        </is>
      </c>
      <c r="I413" t="n">
        <v>2.4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S 4047-2023</t>
        </is>
      </c>
      <c r="B414" t="inlineStr">
        <is>
          <t>samrådsanmälan</t>
        </is>
      </c>
      <c r="C414" t="inlineStr">
        <is>
          <t>Askåterföring</t>
        </is>
      </c>
      <c r="D414" s="1" t="n">
        <v>45240</v>
      </c>
      <c r="E414" s="1" t="n">
        <v>46319</v>
      </c>
      <c r="F414" t="inlineStr">
        <is>
          <t>VÄSTRA GÖTALANDS LÄN</t>
        </is>
      </c>
      <c r="G414" t="inlineStr">
        <is>
          <t>MUNKEDAL</t>
        </is>
      </c>
      <c r="I414" t="n">
        <v>17.1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S 1070-2025</t>
        </is>
      </c>
      <c r="B415" t="inlineStr">
        <is>
          <t>samrådsanmälan</t>
        </is>
      </c>
      <c r="C415" t="inlineStr">
        <is>
          <t>Annan skogsbruksåtgärd</t>
        </is>
      </c>
      <c r="D415" s="1" t="n">
        <v>45749</v>
      </c>
      <c r="E415" s="1" t="n">
        <v>46319</v>
      </c>
      <c r="F415" t="inlineStr">
        <is>
          <t>VÄSTRA GÖTALANDS LÄN</t>
        </is>
      </c>
      <c r="G415" t="inlineStr">
        <is>
          <t>MUNKEDAL</t>
        </is>
      </c>
      <c r="I415" t="n">
        <v>0.3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>
      <c r="A416" t="inlineStr">
        <is>
          <t>S 1617-2025</t>
        </is>
      </c>
      <c r="B416" t="inlineStr">
        <is>
          <t>samrådsanmälan</t>
        </is>
      </c>
      <c r="C416" t="inlineStr">
        <is>
          <t>Annan skogsbruksåtgärd</t>
        </is>
      </c>
      <c r="D416" s="1" t="n">
        <v>45799</v>
      </c>
      <c r="E416" s="1" t="n">
        <v>46319</v>
      </c>
      <c r="F416" t="inlineStr">
        <is>
          <t>VÄSTRA GÖTALANDS LÄN</t>
        </is>
      </c>
      <c r="G416" t="inlineStr">
        <is>
          <t>MUNKEDAL</t>
        </is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2026-10-24T02:03:06Z</dcterms:created>
  <dcterms:modified xmlns:dcterms="http://purl.org/dc/terms/" xmlns:xsi="http://www.w3.org/2001/XMLSchema-instance" xsi:type="dcterms:W3CDTF">2026-10-24T02:03:06Z</dcterms:modified>
</cp:coreProperties>
</file>