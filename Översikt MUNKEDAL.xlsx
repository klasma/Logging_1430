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46230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46230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46230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46230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46230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46230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46230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46230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46230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46230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46230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46230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46230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46230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46230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46230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46230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46230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46230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46230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46230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46230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16618-2022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44672</v>
      </c>
      <c r="E25" s="1" t="n">
        <v>46230</v>
      </c>
      <c r="F25" t="inlineStr">
        <is>
          <t>VÄSTRA GÖTALANDS LÄN</t>
        </is>
      </c>
      <c r="G25" t="inlineStr">
        <is>
          <t>MUNKEDAL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Vanlig padda</t>
        </is>
      </c>
      <c r="W25">
        <f>HYPERLINK("https://klasma.github.io/Logging_1430/artfynd/A 16618-2022 artfynd.xlsx", "A 16618-2022")</f>
        <v/>
      </c>
      <c r="X25">
        <f>HYPERLINK("https://klasma.github.io/Logging_1430/kartor/A 16618-2022 karta.png", "A 16618-2022")</f>
        <v/>
      </c>
      <c r="Y25">
        <f>HYPERLINK("https://klasma.github.io/Logging_1430/kartor_geotiff/A 16618-2022 georefererad karta.tif", "A 16618-2022")</f>
        <v/>
      </c>
      <c r="AA25">
        <f>HYPERLINK("https://klasma.github.io/Logging_1430/klagomål/A 16618-2022 FSC-klagomål.docx", "A 16618-2022")</f>
        <v/>
      </c>
      <c r="AB25">
        <f>HYPERLINK("https://klasma.github.io/Logging_1430/klagomålsmail/A 16618-2022 FSC-klagomål mail.docx", "A 16618-2022")</f>
        <v/>
      </c>
      <c r="AC25">
        <f>HYPERLINK("https://klasma.github.io/Logging_1430/tillsyn/A 16618-2022 tillsynsbegäran.docx", "A 16618-2022")</f>
        <v/>
      </c>
      <c r="AD25">
        <f>HYPERLINK("https://klasma.github.io/Logging_1430/tillsynsmail/A 16618-2022 tillsynsbegäran mail.docx", "A 16618-2022")</f>
        <v/>
      </c>
    </row>
    <row r="26" ht="15" customHeight="1">
      <c r="A26" t="inlineStr">
        <is>
          <t>A 51398-2025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46230</v>
      </c>
      <c r="F26" t="inlineStr">
        <is>
          <t>VÄSTRA GÖTALANDS LÄN</t>
        </is>
      </c>
      <c r="G26" t="inlineStr">
        <is>
          <t>MUNKEDAL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HYPERLINK("https://klasma.github.io/Logging_1430/artfynd/A 51398-2025 artfynd.xlsx", "A 51398-2025")</f>
        <v/>
      </c>
      <c r="X26">
        <f>HYPERLINK("https://klasma.github.io/Logging_1430/kartor/A 51398-2025 karta.png", "A 51398-2025")</f>
        <v/>
      </c>
      <c r="Y26">
        <f>HYPERLINK("https://klasma.github.io/Logging_1430/kartor_geotiff/A 51398-2025 georefererad karta.tif", "A 51398-2025")</f>
        <v/>
      </c>
      <c r="AA26">
        <f>HYPERLINK("https://klasma.github.io/Logging_1430/klagomål/A 51398-2025 FSC-klagomål.docx", "A 51398-2025")</f>
        <v/>
      </c>
      <c r="AB26">
        <f>HYPERLINK("https://klasma.github.io/Logging_1430/klagomålsmail/A 51398-2025 FSC-klagomål mail.docx", "A 51398-2025")</f>
        <v/>
      </c>
      <c r="AC26">
        <f>HYPERLINK("https://klasma.github.io/Logging_1430/tillsyn/A 51398-2025 tillsynsbegäran.docx", "A 51398-2025")</f>
        <v/>
      </c>
      <c r="AD26">
        <f>HYPERLINK("https://klasma.github.io/Logging_1430/tillsynsmail/A 51398-2025 tillsynsbegäran mail.docx", "A 51398-2025")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46230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46230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46230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2887-2025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45677</v>
      </c>
      <c r="E30" s="1" t="n">
        <v>46230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9.699999999999999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Krusfrö</t>
        </is>
      </c>
      <c r="W30">
        <f>HYPERLINK("https://klasma.github.io/Logging_1430/artfynd/A 2887-2025 artfynd.xlsx", "A 2887-2025")</f>
        <v/>
      </c>
      <c r="X30">
        <f>HYPERLINK("https://klasma.github.io/Logging_1430/kartor/A 2887-2025 karta.png", "A 2887-2025")</f>
        <v/>
      </c>
      <c r="Y30">
        <f>HYPERLINK("https://klasma.github.io/Logging_1430/kartor_geotiff/A 2887-2025 georefererad karta.tif", "A 2887-2025")</f>
        <v/>
      </c>
      <c r="AA30">
        <f>HYPERLINK("https://klasma.github.io/Logging_1430/klagomål/A 2887-2025 FSC-klagomål.docx", "A 2887-2025")</f>
        <v/>
      </c>
      <c r="AB30">
        <f>HYPERLINK("https://klasma.github.io/Logging_1430/klagomålsmail/A 2887-2025 FSC-klagomål mail.docx", "A 2887-2025")</f>
        <v/>
      </c>
      <c r="AC30">
        <f>HYPERLINK("https://klasma.github.io/Logging_1430/tillsyn/A 2887-2025 tillsynsbegäran.docx", "A 2887-2025")</f>
        <v/>
      </c>
      <c r="AD30">
        <f>HYPERLINK("https://klasma.github.io/Logging_1430/tillsynsmail/A 2887-2025 tillsynsbegäran mail.docx", "A 2887-2025")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46230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46230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46230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46230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46230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46230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46230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46230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46230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46230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46230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46230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46230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46230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46230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46230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46230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46230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46230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46230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46230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46230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46230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46230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46230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46230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46230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46230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46230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46230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46230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46230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46230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46230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46230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46230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46230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46230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35647-2023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45147</v>
      </c>
      <c r="E69" s="1" t="n">
        <v>46230</v>
      </c>
      <c r="F69" t="inlineStr">
        <is>
          <t>VÄSTRA GÖTALANDS LÄN</t>
        </is>
      </c>
      <c r="G69" t="inlineStr">
        <is>
          <t>MUNKEDAL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46230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46230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46230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46230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44929</v>
      </c>
      <c r="E74" s="1" t="n">
        <v>46230</v>
      </c>
      <c r="F74" t="inlineStr">
        <is>
          <t>VÄSTRA GÖTALANDS LÄN</t>
        </is>
      </c>
      <c r="G74" t="inlineStr">
        <is>
          <t>MUNKEDAL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46230</v>
      </c>
      <c r="F75" t="inlineStr">
        <is>
          <t>VÄSTRA GÖTALANDS LÄN</t>
        </is>
      </c>
      <c r="G75" t="inlineStr">
        <is>
          <t>MUNKEDAL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46230</v>
      </c>
      <c r="F76" t="inlineStr">
        <is>
          <t>VÄSTRA GÖTALANDS LÄN</t>
        </is>
      </c>
      <c r="G76" t="inlineStr">
        <is>
          <t>MUNKEDAL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46230</v>
      </c>
      <c r="F77" t="inlineStr">
        <is>
          <t>VÄSTRA GÖTALANDS LÄN</t>
        </is>
      </c>
      <c r="G77" t="inlineStr">
        <is>
          <t>MUNKEDAL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46230</v>
      </c>
      <c r="F78" t="inlineStr">
        <is>
          <t>VÄSTRA GÖTALANDS LÄN</t>
        </is>
      </c>
      <c r="G78" t="inlineStr">
        <is>
          <t>MUNKEDAL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45640</v>
      </c>
      <c r="E79" s="1" t="n">
        <v>46230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46230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46230</v>
      </c>
      <c r="F81" t="inlineStr">
        <is>
          <t>VÄSTRA GÖTALANDS LÄN</t>
        </is>
      </c>
      <c r="G81" t="inlineStr">
        <is>
          <t>MUNKEDAL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46230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46230</v>
      </c>
      <c r="F83" t="inlineStr">
        <is>
          <t>VÄSTRA GÖTALANDS LÄN</t>
        </is>
      </c>
      <c r="G83" t="inlineStr">
        <is>
          <t>MUNKEDAL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46230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Kommuner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45022</v>
      </c>
      <c r="E85" s="1" t="n">
        <v>46230</v>
      </c>
      <c r="F85" t="inlineStr">
        <is>
          <t>VÄSTRA GÖTALANDS LÄN</t>
        </is>
      </c>
      <c r="G85" t="inlineStr">
        <is>
          <t>MUNKEDAL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45540</v>
      </c>
      <c r="E86" s="1" t="n">
        <v>46230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46230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46230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46230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46230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46230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46230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21.7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46230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Kommuner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46230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45293</v>
      </c>
      <c r="E95" s="1" t="n">
        <v>46230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46230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46230</v>
      </c>
      <c r="F97" t="inlineStr">
        <is>
          <t>VÄSTRA GÖTALANDS LÄN</t>
        </is>
      </c>
      <c r="G97" t="inlineStr">
        <is>
          <t>MUNKEDAL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46230</v>
      </c>
      <c r="F98" t="inlineStr">
        <is>
          <t>VÄSTRA GÖTALANDS LÄN</t>
        </is>
      </c>
      <c r="G98" t="inlineStr">
        <is>
          <t>MUNKEDAL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46230</v>
      </c>
      <c r="F99" t="inlineStr">
        <is>
          <t>VÄSTRA GÖTALANDS LÄN</t>
        </is>
      </c>
      <c r="G99" t="inlineStr">
        <is>
          <t>MUNKEDAL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45111</v>
      </c>
      <c r="E100" s="1" t="n">
        <v>46230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Naturvårdsverket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45076</v>
      </c>
      <c r="E101" s="1" t="n">
        <v>46230</v>
      </c>
      <c r="F101" t="inlineStr">
        <is>
          <t>VÄSTRA GÖTALANDS LÄN</t>
        </is>
      </c>
      <c r="G101" t="inlineStr">
        <is>
          <t>MUNKEDAL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46230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46230</v>
      </c>
      <c r="F103" t="inlineStr">
        <is>
          <t>VÄSTRA GÖTALANDS LÄN</t>
        </is>
      </c>
      <c r="G103" t="inlineStr">
        <is>
          <t>MUNKEDAL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46230</v>
      </c>
      <c r="F104" t="inlineStr">
        <is>
          <t>VÄSTRA GÖTALANDS LÄN</t>
        </is>
      </c>
      <c r="G104" t="inlineStr">
        <is>
          <t>MUNKEDAL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46230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25.2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46230</v>
      </c>
      <c r="F106" t="inlineStr">
        <is>
          <t>VÄSTRA GÖTALANDS LÄN</t>
        </is>
      </c>
      <c r="G106" t="inlineStr">
        <is>
          <t>MUNKEDAL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45317</v>
      </c>
      <c r="E107" s="1" t="n">
        <v>46230</v>
      </c>
      <c r="F107" t="inlineStr">
        <is>
          <t>VÄSTRA GÖTALANDS LÄN</t>
        </is>
      </c>
      <c r="G107" t="inlineStr">
        <is>
          <t>MUNKEDAL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46230</v>
      </c>
      <c r="F108" t="inlineStr">
        <is>
          <t>VÄSTRA GÖTALANDS LÄN</t>
        </is>
      </c>
      <c r="G108" t="inlineStr">
        <is>
          <t>MUNKEDAL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46230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46230</v>
      </c>
      <c r="F110" t="inlineStr">
        <is>
          <t>VÄSTRA GÖTALANDS LÄN</t>
        </is>
      </c>
      <c r="G110" t="inlineStr">
        <is>
          <t>MUNKEDAL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46230</v>
      </c>
      <c r="F111" t="inlineStr">
        <is>
          <t>VÄSTRA GÖTALANDS LÄN</t>
        </is>
      </c>
      <c r="G111" t="inlineStr">
        <is>
          <t>MUNKEDAL</t>
        </is>
      </c>
      <c r="I111" t="n">
        <v>25.2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46230</v>
      </c>
      <c r="F112" t="inlineStr">
        <is>
          <t>VÄSTRA GÖTALANDS LÄN</t>
        </is>
      </c>
      <c r="G112" t="inlineStr">
        <is>
          <t>MUNKEDAL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46230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46230</v>
      </c>
      <c r="F114" t="inlineStr">
        <is>
          <t>VÄSTRA GÖTALANDS LÄN</t>
        </is>
      </c>
      <c r="G114" t="inlineStr">
        <is>
          <t>MUNKEDAL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46230</v>
      </c>
      <c r="F115" t="inlineStr">
        <is>
          <t>VÄSTRA GÖTALANDS LÄN</t>
        </is>
      </c>
      <c r="G115" t="inlineStr">
        <is>
          <t>MUNKEDAL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46230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46230</v>
      </c>
      <c r="F117" t="inlineStr">
        <is>
          <t>VÄSTRA GÖTALANDS LÄN</t>
        </is>
      </c>
      <c r="G117" t="inlineStr">
        <is>
          <t>MUNKEDAL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45261</v>
      </c>
      <c r="E118" s="1" t="n">
        <v>46230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46230</v>
      </c>
      <c r="F119" t="inlineStr">
        <is>
          <t>VÄSTRA GÖTALANDS LÄN</t>
        </is>
      </c>
      <c r="G119" t="inlineStr">
        <is>
          <t>MUNKEDAL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46230</v>
      </c>
      <c r="F120" t="inlineStr">
        <is>
          <t>VÄSTRA GÖTALANDS LÄN</t>
        </is>
      </c>
      <c r="G120" t="inlineStr">
        <is>
          <t>MUNKEDAL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46230</v>
      </c>
      <c r="F121" t="inlineStr">
        <is>
          <t>VÄSTRA GÖTALANDS LÄN</t>
        </is>
      </c>
      <c r="G121" t="inlineStr">
        <is>
          <t>MUNKEDAL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45484</v>
      </c>
      <c r="E122" s="1" t="n">
        <v>46230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46230</v>
      </c>
      <c r="F123" t="inlineStr">
        <is>
          <t>VÄSTRA GÖTALANDS LÄN</t>
        </is>
      </c>
      <c r="G123" t="inlineStr">
        <is>
          <t>MUNKEDAL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46230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45619</v>
      </c>
      <c r="E125" s="1" t="n">
        <v>46230</v>
      </c>
      <c r="F125" t="inlineStr">
        <is>
          <t>VÄSTRA GÖTALANDS LÄN</t>
        </is>
      </c>
      <c r="G125" t="inlineStr">
        <is>
          <t>MUNKEDAL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46230</v>
      </c>
      <c r="F126" t="inlineStr">
        <is>
          <t>VÄSTRA GÖTALANDS LÄN</t>
        </is>
      </c>
      <c r="G126" t="inlineStr">
        <is>
          <t>MUNKEDAL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46230</v>
      </c>
      <c r="F127" t="inlineStr">
        <is>
          <t>VÄSTRA GÖTALANDS LÄN</t>
        </is>
      </c>
      <c r="G127" t="inlineStr">
        <is>
          <t>MUNKEDAL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46230</v>
      </c>
      <c r="F128" t="inlineStr">
        <is>
          <t>VÄSTRA GÖTALANDS LÄN</t>
        </is>
      </c>
      <c r="G128" t="inlineStr">
        <is>
          <t>MUNKEDAL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46230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46230</v>
      </c>
      <c r="F130" t="inlineStr">
        <is>
          <t>VÄSTRA GÖTALANDS LÄN</t>
        </is>
      </c>
      <c r="G130" t="inlineStr">
        <is>
          <t>MUNKEDAL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46230</v>
      </c>
      <c r="F131" t="inlineStr">
        <is>
          <t>VÄSTRA GÖTALANDS LÄN</t>
        </is>
      </c>
      <c r="G131" t="inlineStr">
        <is>
          <t>MUNKEDAL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46230</v>
      </c>
      <c r="F132" t="inlineStr">
        <is>
          <t>VÄSTRA GÖTALANDS LÄN</t>
        </is>
      </c>
      <c r="G132" t="inlineStr">
        <is>
          <t>MUNKEDAL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46230</v>
      </c>
      <c r="F133" t="inlineStr">
        <is>
          <t>VÄSTRA GÖTALANDS LÄN</t>
        </is>
      </c>
      <c r="G133" t="inlineStr">
        <is>
          <t>MUNKEDAL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45388</v>
      </c>
      <c r="E134" s="1" t="n">
        <v>46230</v>
      </c>
      <c r="F134" t="inlineStr">
        <is>
          <t>VÄSTRA GÖTALANDS LÄN</t>
        </is>
      </c>
      <c r="G134" t="inlineStr">
        <is>
          <t>MUNKEDAL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46230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46230</v>
      </c>
      <c r="F136" t="inlineStr">
        <is>
          <t>VÄSTRA GÖTALANDS LÄN</t>
        </is>
      </c>
      <c r="G136" t="inlineStr">
        <is>
          <t>MUNKEDAL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46230</v>
      </c>
      <c r="F137" t="inlineStr">
        <is>
          <t>VÄSTRA GÖTALANDS LÄN</t>
        </is>
      </c>
      <c r="G137" t="inlineStr">
        <is>
          <t>MUNKEDAL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46230</v>
      </c>
      <c r="F138" t="inlineStr">
        <is>
          <t>VÄSTRA GÖTALANDS LÄN</t>
        </is>
      </c>
      <c r="G138" t="inlineStr">
        <is>
          <t>MUNKEDAL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46230</v>
      </c>
      <c r="F139" t="inlineStr">
        <is>
          <t>VÄSTRA GÖTALANDS LÄN</t>
        </is>
      </c>
      <c r="G139" t="inlineStr">
        <is>
          <t>MUNKEDAL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46230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46230</v>
      </c>
      <c r="F141" t="inlineStr">
        <is>
          <t>VÄSTRA GÖTALANDS LÄN</t>
        </is>
      </c>
      <c r="G141" t="inlineStr">
        <is>
          <t>MUNKEDAL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45148</v>
      </c>
      <c r="E142" s="1" t="n">
        <v>46230</v>
      </c>
      <c r="F142" t="inlineStr">
        <is>
          <t>VÄSTRA GÖTALANDS LÄN</t>
        </is>
      </c>
      <c r="G142" t="inlineStr">
        <is>
          <t>MUNKEDAL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46230</v>
      </c>
      <c r="F143" t="inlineStr">
        <is>
          <t>VÄSTRA GÖTALANDS LÄN</t>
        </is>
      </c>
      <c r="G143" t="inlineStr">
        <is>
          <t>MUNKEDAL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46230</v>
      </c>
      <c r="F144" t="inlineStr">
        <is>
          <t>VÄSTRA GÖTALANDS LÄN</t>
        </is>
      </c>
      <c r="G144" t="inlineStr">
        <is>
          <t>MUNKEDAL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46230</v>
      </c>
      <c r="F145" t="inlineStr">
        <is>
          <t>VÄSTRA GÖTALANDS LÄN</t>
        </is>
      </c>
      <c r="G145" t="inlineStr">
        <is>
          <t>MUNKEDAL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46230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46230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46230</v>
      </c>
      <c r="F148" t="inlineStr">
        <is>
          <t>VÄSTRA GÖTALANDS LÄN</t>
        </is>
      </c>
      <c r="G148" t="inlineStr">
        <is>
          <t>MUNKEDAL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46230</v>
      </c>
      <c r="F149" t="inlineStr">
        <is>
          <t>VÄSTRA GÖTALANDS LÄN</t>
        </is>
      </c>
      <c r="G149" t="inlineStr">
        <is>
          <t>MUNKEDAL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46230</v>
      </c>
      <c r="F150" t="inlineStr">
        <is>
          <t>VÄSTRA GÖTALANDS LÄN</t>
        </is>
      </c>
      <c r="G150" t="inlineStr">
        <is>
          <t>MUNKEDAL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46230</v>
      </c>
      <c r="F151" t="inlineStr">
        <is>
          <t>VÄSTRA GÖTALANDS LÄN</t>
        </is>
      </c>
      <c r="G151" t="inlineStr">
        <is>
          <t>MUNKEDAL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46230</v>
      </c>
      <c r="F152" t="inlineStr">
        <is>
          <t>VÄSTRA GÖTALANDS LÄN</t>
        </is>
      </c>
      <c r="G152" t="inlineStr">
        <is>
          <t>MUNKEDAL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46230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46230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46230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46230</v>
      </c>
      <c r="F156" t="inlineStr">
        <is>
          <t>VÄSTRA GÖTALANDS LÄN</t>
        </is>
      </c>
      <c r="G156" t="inlineStr">
        <is>
          <t>MUNKEDAL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45921</v>
      </c>
      <c r="E157" s="1" t="n">
        <v>46230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46230</v>
      </c>
      <c r="F158" t="inlineStr">
        <is>
          <t>VÄSTRA GÖTALANDS LÄN</t>
        </is>
      </c>
      <c r="G158" t="inlineStr">
        <is>
          <t>MUNKEDAL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46230</v>
      </c>
      <c r="F159" t="inlineStr">
        <is>
          <t>VÄSTRA GÖTALANDS LÄN</t>
        </is>
      </c>
      <c r="G159" t="inlineStr">
        <is>
          <t>MUNKEDAL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46230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Kyrkan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46230</v>
      </c>
      <c r="F161" t="inlineStr">
        <is>
          <t>VÄSTRA GÖTALANDS LÄN</t>
        </is>
      </c>
      <c r="G161" t="inlineStr">
        <is>
          <t>MUNKEDAL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46230</v>
      </c>
      <c r="F162" t="inlineStr">
        <is>
          <t>VÄSTRA GÖTALANDS LÄN</t>
        </is>
      </c>
      <c r="G162" t="inlineStr">
        <is>
          <t>MUNKEDAL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46230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Kommuner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46230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46230</v>
      </c>
      <c r="F165" t="inlineStr">
        <is>
          <t>VÄSTRA GÖTALANDS LÄN</t>
        </is>
      </c>
      <c r="G165" t="inlineStr">
        <is>
          <t>MUNKEDAL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49912-2023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45214</v>
      </c>
      <c r="E166" s="1" t="n">
        <v>46230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46230</v>
      </c>
      <c r="F167" t="inlineStr">
        <is>
          <t>VÄSTRA GÖTALANDS LÄN</t>
        </is>
      </c>
      <c r="G167" t="inlineStr">
        <is>
          <t>MUNKEDAL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46230</v>
      </c>
      <c r="F168" t="inlineStr">
        <is>
          <t>VÄSTRA GÖTALANDS LÄN</t>
        </is>
      </c>
      <c r="G168" t="inlineStr">
        <is>
          <t>MUNKEDAL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46230</v>
      </c>
      <c r="F169" t="inlineStr">
        <is>
          <t>VÄSTRA GÖTALANDS LÄN</t>
        </is>
      </c>
      <c r="G169" t="inlineStr">
        <is>
          <t>MUNKEDAL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46230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44904</v>
      </c>
      <c r="E171" s="1" t="n">
        <v>46230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46230</v>
      </c>
      <c r="F172" t="inlineStr">
        <is>
          <t>VÄSTRA GÖTALANDS LÄN</t>
        </is>
      </c>
      <c r="G172" t="inlineStr">
        <is>
          <t>MUNKEDAL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46230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46230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46230</v>
      </c>
      <c r="F175" t="inlineStr">
        <is>
          <t>VÄSTRA GÖTALANDS LÄN</t>
        </is>
      </c>
      <c r="G175" t="inlineStr">
        <is>
          <t>MUNKEDAL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45630</v>
      </c>
      <c r="E176" s="1" t="n">
        <v>46230</v>
      </c>
      <c r="F176" t="inlineStr">
        <is>
          <t>VÄSTRA GÖTALANDS LÄN</t>
        </is>
      </c>
      <c r="G176" t="inlineStr">
        <is>
          <t>MUNKEDAL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46230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46230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46230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46230</v>
      </c>
      <c r="F180" t="inlineStr">
        <is>
          <t>VÄSTRA GÖTALANDS LÄN</t>
        </is>
      </c>
      <c r="G180" t="inlineStr">
        <is>
          <t>MUNKEDAL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46230</v>
      </c>
      <c r="F181" t="inlineStr">
        <is>
          <t>VÄSTRA GÖTALANDS LÄN</t>
        </is>
      </c>
      <c r="G181" t="inlineStr">
        <is>
          <t>MUNKEDAL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46230</v>
      </c>
      <c r="F182" t="inlineStr">
        <is>
          <t>VÄSTRA GÖTALANDS LÄN</t>
        </is>
      </c>
      <c r="G182" t="inlineStr">
        <is>
          <t>MUNKEDAL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46230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46230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46230</v>
      </c>
      <c r="F185" t="inlineStr">
        <is>
          <t>VÄSTRA GÖTALANDS LÄN</t>
        </is>
      </c>
      <c r="G185" t="inlineStr">
        <is>
          <t>MUNKEDAL</t>
        </is>
      </c>
      <c r="I185" t="n">
        <v>8.699999999999999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45072</v>
      </c>
      <c r="E186" s="1" t="n">
        <v>46230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Kommuner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46230</v>
      </c>
      <c r="F187" t="inlineStr">
        <is>
          <t>VÄSTRA GÖTALANDS LÄN</t>
        </is>
      </c>
      <c r="G187" t="inlineStr">
        <is>
          <t>MUNKEDAL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28667-2022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46230</v>
      </c>
      <c r="F188" t="inlineStr">
        <is>
          <t>VÄSTRA GÖTALANDS LÄN</t>
        </is>
      </c>
      <c r="G188" t="inlineStr">
        <is>
          <t>MUNKEDAL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46230</v>
      </c>
      <c r="F189" t="inlineStr">
        <is>
          <t>VÄSTRA GÖTALANDS LÄN</t>
        </is>
      </c>
      <c r="G189" t="inlineStr">
        <is>
          <t>MUNKEDAL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46230</v>
      </c>
      <c r="F190" t="inlineStr">
        <is>
          <t>VÄSTRA GÖTALANDS LÄN</t>
        </is>
      </c>
      <c r="G190" t="inlineStr">
        <is>
          <t>MUNKEDAL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46230</v>
      </c>
      <c r="F191" t="inlineStr">
        <is>
          <t>VÄSTRA GÖTALANDS LÄN</t>
        </is>
      </c>
      <c r="G191" t="inlineStr">
        <is>
          <t>MUNKEDAL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45362</v>
      </c>
      <c r="E192" s="1" t="n">
        <v>46230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46230</v>
      </c>
      <c r="F193" t="inlineStr">
        <is>
          <t>VÄSTRA GÖTALANDS LÄN</t>
        </is>
      </c>
      <c r="G193" t="inlineStr">
        <is>
          <t>MUNKEDAL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44774</v>
      </c>
      <c r="E194" s="1" t="n">
        <v>46230</v>
      </c>
      <c r="F194" t="inlineStr">
        <is>
          <t>VÄSTRA GÖTALANDS LÄN</t>
        </is>
      </c>
      <c r="G194" t="inlineStr">
        <is>
          <t>MUNKEDAL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44920</v>
      </c>
      <c r="E195" s="1" t="n">
        <v>46230</v>
      </c>
      <c r="F195" t="inlineStr">
        <is>
          <t>VÄSTRA GÖTALANDS LÄN</t>
        </is>
      </c>
      <c r="G195" t="inlineStr">
        <is>
          <t>MUNKEDAL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44920</v>
      </c>
      <c r="E196" s="1" t="n">
        <v>46230</v>
      </c>
      <c r="F196" t="inlineStr">
        <is>
          <t>VÄSTRA GÖTALANDS LÄN</t>
        </is>
      </c>
      <c r="G196" t="inlineStr">
        <is>
          <t>MUNKEDAL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46230</v>
      </c>
      <c r="F197" t="inlineStr">
        <is>
          <t>VÄSTRA GÖTALANDS LÄN</t>
        </is>
      </c>
      <c r="G197" t="inlineStr">
        <is>
          <t>MUNKEDAL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46230</v>
      </c>
      <c r="F198" t="inlineStr">
        <is>
          <t>VÄSTRA GÖTALANDS LÄN</t>
        </is>
      </c>
      <c r="G198" t="inlineStr">
        <is>
          <t>MUNKEDAL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46230</v>
      </c>
      <c r="F199" t="inlineStr">
        <is>
          <t>VÄSTRA GÖTALANDS LÄN</t>
        </is>
      </c>
      <c r="G199" t="inlineStr">
        <is>
          <t>MUNKEDAL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46230</v>
      </c>
      <c r="F200" t="inlineStr">
        <is>
          <t>VÄSTRA GÖTALANDS LÄN</t>
        </is>
      </c>
      <c r="G200" t="inlineStr">
        <is>
          <t>MUNKEDAL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45296</v>
      </c>
      <c r="E201" s="1" t="n">
        <v>46230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Kyrkan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46230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46230</v>
      </c>
      <c r="F203" t="inlineStr">
        <is>
          <t>VÄSTRA GÖTALANDS LÄN</t>
        </is>
      </c>
      <c r="G203" t="inlineStr">
        <is>
          <t>MUNKEDAL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46230</v>
      </c>
      <c r="F204" t="inlineStr">
        <is>
          <t>VÄSTRA GÖTALANDS LÄN</t>
        </is>
      </c>
      <c r="G204" t="inlineStr">
        <is>
          <t>MUNKEDAL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45005</v>
      </c>
      <c r="E205" s="1" t="n">
        <v>46230</v>
      </c>
      <c r="F205" t="inlineStr">
        <is>
          <t>VÄSTRA GÖTALANDS LÄN</t>
        </is>
      </c>
      <c r="G205" t="inlineStr">
        <is>
          <t>MUNKEDAL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46230</v>
      </c>
      <c r="F206" t="inlineStr">
        <is>
          <t>VÄSTRA GÖTALANDS LÄN</t>
        </is>
      </c>
      <c r="G206" t="inlineStr">
        <is>
          <t>MUNKEDAL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46230</v>
      </c>
      <c r="F207" t="inlineStr">
        <is>
          <t>VÄSTRA GÖTALANDS LÄN</t>
        </is>
      </c>
      <c r="G207" t="inlineStr">
        <is>
          <t>MUNKEDAL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46230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46230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46230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46230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46230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46440-2024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46230</v>
      </c>
      <c r="F213" t="inlineStr">
        <is>
          <t>VÄSTRA GÖTALANDS LÄN</t>
        </is>
      </c>
      <c r="G213" t="inlineStr">
        <is>
          <t>MUNKEDAL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46230</v>
      </c>
      <c r="F214" t="inlineStr">
        <is>
          <t>VÄSTRA GÖTALANDS LÄN</t>
        </is>
      </c>
      <c r="G214" t="inlineStr">
        <is>
          <t>MUNKEDAL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46230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46230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46230</v>
      </c>
      <c r="F217" t="inlineStr">
        <is>
          <t>VÄSTRA GÖTALANDS LÄN</t>
        </is>
      </c>
      <c r="G217" t="inlineStr">
        <is>
          <t>MUNKEDAL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46230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46190</v>
      </c>
      <c r="E219" s="1" t="n">
        <v>46230</v>
      </c>
      <c r="F219" t="inlineStr">
        <is>
          <t>VÄSTRA GÖTALANDS LÄN</t>
        </is>
      </c>
      <c r="G219" t="inlineStr">
        <is>
          <t>MUNKEDAL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46230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45296</v>
      </c>
      <c r="E221" s="1" t="n">
        <v>46230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Kyrkan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46230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46230</v>
      </c>
      <c r="F223" t="inlineStr">
        <is>
          <t>VÄSTRA GÖTALANDS LÄN</t>
        </is>
      </c>
      <c r="G223" t="inlineStr">
        <is>
          <t>MUNKEDAL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46230</v>
      </c>
      <c r="F224" t="inlineStr">
        <is>
          <t>VÄSTRA GÖTALANDS LÄN</t>
        </is>
      </c>
      <c r="G224" t="inlineStr">
        <is>
          <t>MUNKEDAL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46230</v>
      </c>
      <c r="F225" t="inlineStr">
        <is>
          <t>VÄSTRA GÖTALANDS LÄN</t>
        </is>
      </c>
      <c r="G225" t="inlineStr">
        <is>
          <t>MUNKEDAL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46230</v>
      </c>
      <c r="F226" t="inlineStr">
        <is>
          <t>VÄSTRA GÖTALANDS LÄN</t>
        </is>
      </c>
      <c r="G226" t="inlineStr">
        <is>
          <t>MUNKEDAL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46230</v>
      </c>
      <c r="F227" t="inlineStr">
        <is>
          <t>VÄSTRA GÖTALANDS LÄN</t>
        </is>
      </c>
      <c r="G227" t="inlineStr">
        <is>
          <t>MUNKEDAL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45325</v>
      </c>
      <c r="E228" s="1" t="n">
        <v>46230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46230</v>
      </c>
      <c r="F229" t="inlineStr">
        <is>
          <t>VÄSTRA GÖTALANDS LÄN</t>
        </is>
      </c>
      <c r="G229" t="inlineStr">
        <is>
          <t>MUNKEDAL</t>
        </is>
      </c>
      <c r="I229" t="n">
        <v>16.3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46230</v>
      </c>
      <c r="F230" t="inlineStr">
        <is>
          <t>VÄSTRA GÖTALANDS LÄN</t>
        </is>
      </c>
      <c r="G230" t="inlineStr">
        <is>
          <t>MUNKEDAL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46230</v>
      </c>
      <c r="F231" t="inlineStr">
        <is>
          <t>VÄSTRA GÖTALANDS LÄN</t>
        </is>
      </c>
      <c r="G231" t="inlineStr">
        <is>
          <t>MUNKEDAL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46230</v>
      </c>
      <c r="F232" t="inlineStr">
        <is>
          <t>VÄSTRA GÖTALANDS LÄN</t>
        </is>
      </c>
      <c r="G232" t="inlineStr">
        <is>
          <t>MUNKEDAL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46230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46230</v>
      </c>
      <c r="F234" t="inlineStr">
        <is>
          <t>VÄSTRA GÖTALANDS LÄN</t>
        </is>
      </c>
      <c r="G234" t="inlineStr">
        <is>
          <t>MUNKEDAL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46230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46230</v>
      </c>
      <c r="F236" t="inlineStr">
        <is>
          <t>VÄSTRA GÖTALANDS LÄN</t>
        </is>
      </c>
      <c r="G236" t="inlineStr">
        <is>
          <t>MUNKEDAL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18278-2025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45762</v>
      </c>
      <c r="E237" s="1" t="n">
        <v>46230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46230</v>
      </c>
      <c r="F238" t="inlineStr">
        <is>
          <t>VÄSTRA GÖTALANDS LÄN</t>
        </is>
      </c>
      <c r="G238" t="inlineStr">
        <is>
          <t>MUNKEDAL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46230</v>
      </c>
      <c r="F239" t="inlineStr">
        <is>
          <t>VÄSTRA GÖTALANDS LÄN</t>
        </is>
      </c>
      <c r="G239" t="inlineStr">
        <is>
          <t>MUNKEDAL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46230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46230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46230</v>
      </c>
      <c r="F242" t="inlineStr">
        <is>
          <t>VÄSTRA GÖTALANDS LÄN</t>
        </is>
      </c>
      <c r="G242" t="inlineStr">
        <is>
          <t>MUNKEDAL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46230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45160</v>
      </c>
      <c r="E244" s="1" t="n">
        <v>46230</v>
      </c>
      <c r="F244" t="inlineStr">
        <is>
          <t>VÄSTRA GÖTALANDS LÄN</t>
        </is>
      </c>
      <c r="G244" t="inlineStr">
        <is>
          <t>MUNKEDAL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46230</v>
      </c>
      <c r="F245" t="inlineStr">
        <is>
          <t>VÄSTRA GÖTALANDS LÄN</t>
        </is>
      </c>
      <c r="G245" t="inlineStr">
        <is>
          <t>MUNKEDAL</t>
        </is>
      </c>
      <c r="I245" t="n">
        <v>8.9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46230</v>
      </c>
      <c r="F246" t="inlineStr">
        <is>
          <t>VÄSTRA GÖTALANDS LÄN</t>
        </is>
      </c>
      <c r="G246" t="inlineStr">
        <is>
          <t>MUNKEDAL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46230</v>
      </c>
      <c r="F247" t="inlineStr">
        <is>
          <t>VÄSTRA GÖTALANDS LÄN</t>
        </is>
      </c>
      <c r="G247" t="inlineStr">
        <is>
          <t>MUNKEDAL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46230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46230</v>
      </c>
      <c r="F249" t="inlineStr">
        <is>
          <t>VÄSTRA GÖTALANDS LÄN</t>
        </is>
      </c>
      <c r="G249" t="inlineStr">
        <is>
          <t>MUNKEDAL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46230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46230</v>
      </c>
      <c r="F251" t="inlineStr">
        <is>
          <t>VÄSTRA GÖTALANDS LÄN</t>
        </is>
      </c>
      <c r="G251" t="inlineStr">
        <is>
          <t>MUNKEDAL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46230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46022</v>
      </c>
      <c r="E253" s="1" t="n">
        <v>46230</v>
      </c>
      <c r="F253" t="inlineStr">
        <is>
          <t>VÄSTRA GÖTALANDS LÄN</t>
        </is>
      </c>
      <c r="G253" t="inlineStr">
        <is>
          <t>MUNKEDAL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46022</v>
      </c>
      <c r="E254" s="1" t="n">
        <v>46230</v>
      </c>
      <c r="F254" t="inlineStr">
        <is>
          <t>VÄSTRA GÖTALANDS LÄN</t>
        </is>
      </c>
      <c r="G254" t="inlineStr">
        <is>
          <t>MUNKEDAL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44593</v>
      </c>
      <c r="E255" s="1" t="n">
        <v>46230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45400</v>
      </c>
      <c r="E256" s="1" t="n">
        <v>46230</v>
      </c>
      <c r="F256" t="inlineStr">
        <is>
          <t>VÄSTRA GÖTALANDS LÄN</t>
        </is>
      </c>
      <c r="G256" t="inlineStr">
        <is>
          <t>MUNKEDAL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46230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46230</v>
      </c>
      <c r="F258" t="inlineStr">
        <is>
          <t>VÄSTRA GÖTALANDS LÄN</t>
        </is>
      </c>
      <c r="G258" t="inlineStr">
        <is>
          <t>MUNKEDAL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46230</v>
      </c>
      <c r="F259" t="inlineStr">
        <is>
          <t>VÄSTRA GÖTALANDS LÄN</t>
        </is>
      </c>
      <c r="G259" t="inlineStr">
        <is>
          <t>MUNKEDAL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46230</v>
      </c>
      <c r="F260" t="inlineStr">
        <is>
          <t>VÄSTRA GÖTALANDS LÄN</t>
        </is>
      </c>
      <c r="G260" t="inlineStr">
        <is>
          <t>MUNKEDAL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46230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46230</v>
      </c>
      <c r="F262" t="inlineStr">
        <is>
          <t>VÄSTRA GÖTALANDS LÄN</t>
        </is>
      </c>
      <c r="G262" t="inlineStr">
        <is>
          <t>MUNKEDAL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46230</v>
      </c>
      <c r="F263" t="inlineStr">
        <is>
          <t>VÄSTRA GÖTALANDS LÄN</t>
        </is>
      </c>
      <c r="G263" t="inlineStr">
        <is>
          <t>MUNKEDAL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45456</v>
      </c>
      <c r="E264" s="1" t="n">
        <v>46230</v>
      </c>
      <c r="F264" t="inlineStr">
        <is>
          <t>VÄSTRA GÖTALANDS LÄN</t>
        </is>
      </c>
      <c r="G264" t="inlineStr">
        <is>
          <t>MUNKEDAL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46230</v>
      </c>
      <c r="F265" t="inlineStr">
        <is>
          <t>VÄSTRA GÖTALANDS LÄN</t>
        </is>
      </c>
      <c r="G265" t="inlineStr">
        <is>
          <t>MUNKEDAL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46230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46230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46160</v>
      </c>
      <c r="E268" s="1" t="n">
        <v>46230</v>
      </c>
      <c r="F268" t="inlineStr">
        <is>
          <t>VÄSTRA GÖTALANDS LÄN</t>
        </is>
      </c>
      <c r="G268" t="inlineStr">
        <is>
          <t>MUNKEDAL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46230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statliga verk och myndigheter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46230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46230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46230</v>
      </c>
      <c r="F272" t="inlineStr">
        <is>
          <t>VÄSTRA GÖTALANDS LÄN</t>
        </is>
      </c>
      <c r="G272" t="inlineStr">
        <is>
          <t>MUNKEDAL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46047</v>
      </c>
      <c r="E273" s="1" t="n">
        <v>46230</v>
      </c>
      <c r="F273" t="inlineStr">
        <is>
          <t>VÄSTRA GÖTALANDS LÄN</t>
        </is>
      </c>
      <c r="G273" t="inlineStr">
        <is>
          <t>MUNKEDAL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46230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46230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Kyrkan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46230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46230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46230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46230</v>
      </c>
      <c r="F279" t="inlineStr">
        <is>
          <t>VÄSTRA GÖTALANDS LÄN</t>
        </is>
      </c>
      <c r="G279" t="inlineStr">
        <is>
          <t>MUNKEDAL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46230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46230</v>
      </c>
      <c r="F281" t="inlineStr">
        <is>
          <t>VÄSTRA GÖTALANDS LÄN</t>
        </is>
      </c>
      <c r="G281" t="inlineStr">
        <is>
          <t>MUNKEDAL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46230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46230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46230</v>
      </c>
      <c r="F284" t="inlineStr">
        <is>
          <t>VÄSTRA GÖTALANDS LÄN</t>
        </is>
      </c>
      <c r="G284" t="inlineStr">
        <is>
          <t>MUNKEDAL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44580</v>
      </c>
      <c r="E285" s="1" t="n">
        <v>46230</v>
      </c>
      <c r="F285" t="inlineStr">
        <is>
          <t>VÄSTRA GÖTALANDS LÄN</t>
        </is>
      </c>
      <c r="G285" t="inlineStr">
        <is>
          <t>MUNKEDAL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44873</v>
      </c>
      <c r="E286" s="1" t="n">
        <v>46230</v>
      </c>
      <c r="F286" t="inlineStr">
        <is>
          <t>VÄSTRA GÖTALANDS LÄN</t>
        </is>
      </c>
      <c r="G286" t="inlineStr">
        <is>
          <t>MUNKEDAL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46230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46073</v>
      </c>
      <c r="E288" s="1" t="n">
        <v>46230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46230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46230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45123-2021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44439</v>
      </c>
      <c r="E291" s="1" t="n">
        <v>46230</v>
      </c>
      <c r="F291" t="inlineStr">
        <is>
          <t>VÄSTRA GÖTALANDS LÄN</t>
        </is>
      </c>
      <c r="G291" t="inlineStr">
        <is>
          <t>MUNKEDAL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46230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46230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46230</v>
      </c>
      <c r="F294" t="inlineStr">
        <is>
          <t>VÄSTRA GÖTALANDS LÄN</t>
        </is>
      </c>
      <c r="G294" t="inlineStr">
        <is>
          <t>MUNKEDAL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46230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46230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46230</v>
      </c>
      <c r="F297" t="inlineStr">
        <is>
          <t>VÄSTRA GÖTALANDS LÄN</t>
        </is>
      </c>
      <c r="G297" t="inlineStr">
        <is>
          <t>MUNKEDAL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49946-2021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44454</v>
      </c>
      <c r="E298" s="1" t="n">
        <v>46230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45127</v>
      </c>
      <c r="E299" s="1" t="n">
        <v>46230</v>
      </c>
      <c r="F299" t="inlineStr">
        <is>
          <t>VÄSTRA GÖTALANDS LÄN</t>
        </is>
      </c>
      <c r="G299" t="inlineStr">
        <is>
          <t>MUNKEDAL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46230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46230</v>
      </c>
      <c r="F301" t="inlineStr">
        <is>
          <t>VÄSTRA GÖTALANDS LÄN</t>
        </is>
      </c>
      <c r="G301" t="inlineStr">
        <is>
          <t>MUNKEDAL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46230</v>
      </c>
      <c r="F302" t="inlineStr">
        <is>
          <t>VÄSTRA GÖTALANDS LÄN</t>
        </is>
      </c>
      <c r="G302" t="inlineStr">
        <is>
          <t>MUNKEDAL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46230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45618</v>
      </c>
      <c r="E304" s="1" t="n">
        <v>46230</v>
      </c>
      <c r="F304" t="inlineStr">
        <is>
          <t>VÄSTRA GÖTALANDS LÄN</t>
        </is>
      </c>
      <c r="G304" t="inlineStr">
        <is>
          <t>MUNKEDAL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46230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46230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46230</v>
      </c>
      <c r="F307" t="inlineStr">
        <is>
          <t>VÄSTRA GÖTALANDS LÄN</t>
        </is>
      </c>
      <c r="G307" t="inlineStr">
        <is>
          <t>MUNKEDAL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33925-2024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45522</v>
      </c>
      <c r="E308" s="1" t="n">
        <v>46230</v>
      </c>
      <c r="F308" t="inlineStr">
        <is>
          <t>VÄSTRA GÖTALANDS LÄN</t>
        </is>
      </c>
      <c r="G308" t="inlineStr">
        <is>
          <t>MUNKEDAL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46230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46230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46209</v>
      </c>
      <c r="E311" s="1" t="n">
        <v>46230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46230</v>
      </c>
      <c r="F312" t="inlineStr">
        <is>
          <t>VÄSTRA GÖTALANDS LÄN</t>
        </is>
      </c>
      <c r="G312" t="inlineStr">
        <is>
          <t>MUNKEDAL</t>
        </is>
      </c>
      <c r="I312" t="n">
        <v>9.1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46230</v>
      </c>
      <c r="F313" t="inlineStr">
        <is>
          <t>VÄSTRA GÖTALANDS LÄN</t>
        </is>
      </c>
      <c r="G313" t="inlineStr">
        <is>
          <t>MUNKEDAL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45127</v>
      </c>
      <c r="E314" s="1" t="n">
        <v>46230</v>
      </c>
      <c r="F314" t="inlineStr">
        <is>
          <t>VÄSTRA GÖTALANDS LÄN</t>
        </is>
      </c>
      <c r="G314" t="inlineStr">
        <is>
          <t>MUNKEDAL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46230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46230</v>
      </c>
      <c r="F316" t="inlineStr">
        <is>
          <t>VÄSTRA GÖTALANDS LÄN</t>
        </is>
      </c>
      <c r="G316" t="inlineStr">
        <is>
          <t>MUNKEDAL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46230</v>
      </c>
      <c r="F317" t="inlineStr">
        <is>
          <t>VÄSTRA GÖTALANDS LÄN</t>
        </is>
      </c>
      <c r="G317" t="inlineStr">
        <is>
          <t>MUNKEDAL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46230</v>
      </c>
      <c r="F318" t="inlineStr">
        <is>
          <t>VÄSTRA GÖTALANDS LÄN</t>
        </is>
      </c>
      <c r="G318" t="inlineStr">
        <is>
          <t>MUNKEDAL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46230</v>
      </c>
      <c r="F319" t="inlineStr">
        <is>
          <t>VÄSTRA GÖTALANDS LÄN</t>
        </is>
      </c>
      <c r="G319" t="inlineStr">
        <is>
          <t>MUNKEDAL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46230</v>
      </c>
      <c r="F320" t="inlineStr">
        <is>
          <t>VÄSTRA GÖTALANDS LÄN</t>
        </is>
      </c>
      <c r="G320" t="inlineStr">
        <is>
          <t>MUNKEDAL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46230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46230</v>
      </c>
      <c r="F322" t="inlineStr">
        <is>
          <t>VÄSTRA GÖTALANDS LÄN</t>
        </is>
      </c>
      <c r="G322" t="inlineStr">
        <is>
          <t>MUNKEDAL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46230</v>
      </c>
      <c r="F323" t="inlineStr">
        <is>
          <t>VÄSTRA GÖTALANDS LÄN</t>
        </is>
      </c>
      <c r="G323" t="inlineStr">
        <is>
          <t>MUNKEDAL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46230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43438-2021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44432</v>
      </c>
      <c r="E325" s="1" t="n">
        <v>46230</v>
      </c>
      <c r="F325" t="inlineStr">
        <is>
          <t>VÄSTRA GÖTALANDS LÄN</t>
        </is>
      </c>
      <c r="G325" t="inlineStr">
        <is>
          <t>MUNKEDAL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43547-2021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44432</v>
      </c>
      <c r="E326" s="1" t="n">
        <v>46230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16631-2022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44672</v>
      </c>
      <c r="E327" s="1" t="n">
        <v>46230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46230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44812</v>
      </c>
      <c r="E329" s="1" t="n">
        <v>46230</v>
      </c>
      <c r="F329" t="inlineStr">
        <is>
          <t>VÄSTRA GÖTALANDS LÄN</t>
        </is>
      </c>
      <c r="G329" t="inlineStr">
        <is>
          <t>MUNKEDAL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45393</v>
      </c>
      <c r="E330" s="1" t="n">
        <v>46230</v>
      </c>
      <c r="F330" t="inlineStr">
        <is>
          <t>VÄSTRA GÖTALANDS LÄN</t>
        </is>
      </c>
      <c r="G330" t="inlineStr">
        <is>
          <t>MUNKEDAL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45560</v>
      </c>
      <c r="E331" s="1" t="n">
        <v>46230</v>
      </c>
      <c r="F331" t="inlineStr">
        <is>
          <t>VÄSTRA GÖTALANDS LÄN</t>
        </is>
      </c>
      <c r="G331" t="inlineStr">
        <is>
          <t>MUNKEDAL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46230</v>
      </c>
      <c r="F332" t="inlineStr">
        <is>
          <t>VÄSTRA GÖTALANDS LÄN</t>
        </is>
      </c>
      <c r="G332" t="inlineStr">
        <is>
          <t>MUNKEDAL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46230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46131</v>
      </c>
      <c r="E334" s="1" t="n">
        <v>46230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46230</v>
      </c>
      <c r="F335" t="inlineStr">
        <is>
          <t>VÄSTRA GÖTALANDS LÄN</t>
        </is>
      </c>
      <c r="G335" t="inlineStr">
        <is>
          <t>MUNKEDAL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45111</v>
      </c>
      <c r="E336" s="1" t="n">
        <v>46230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Naturvårdsverket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46230</v>
      </c>
      <c r="F337" t="inlineStr">
        <is>
          <t>VÄSTRA GÖTALANDS LÄN</t>
        </is>
      </c>
      <c r="G337" t="inlineStr">
        <is>
          <t>MUNKEDAL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46230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46230</v>
      </c>
      <c r="F339" t="inlineStr">
        <is>
          <t>VÄSTRA GÖTALANDS LÄN</t>
        </is>
      </c>
      <c r="G339" t="inlineStr">
        <is>
          <t>MUNKEDAL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58617-2023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45251</v>
      </c>
      <c r="E340" s="1" t="n">
        <v>46230</v>
      </c>
      <c r="F340" t="inlineStr">
        <is>
          <t>VÄSTRA GÖTALANDS LÄN</t>
        </is>
      </c>
      <c r="G340" t="inlineStr">
        <is>
          <t>MUNKEDAL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44608</v>
      </c>
      <c r="E341" s="1" t="n">
        <v>46230</v>
      </c>
      <c r="F341" t="inlineStr">
        <is>
          <t>VÄSTRA GÖTALANDS LÄN</t>
        </is>
      </c>
      <c r="G341" t="inlineStr">
        <is>
          <t>MUNKEDAL</t>
        </is>
      </c>
      <c r="I341" t="n">
        <v>15.4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45215</v>
      </c>
      <c r="E342" s="1" t="n">
        <v>46230</v>
      </c>
      <c r="F342" t="inlineStr">
        <is>
          <t>VÄSTRA GÖTALANDS LÄN</t>
        </is>
      </c>
      <c r="G342" t="inlineStr">
        <is>
          <t>MUNKEDAL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45071</v>
      </c>
      <c r="E343" s="1" t="n">
        <v>46230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Naturvårdsverket</t>
        </is>
      </c>
      <c r="I343" t="n">
        <v>15.8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46230</v>
      </c>
      <c r="F344" t="inlineStr">
        <is>
          <t>VÄSTRA GÖTALANDS LÄN</t>
        </is>
      </c>
      <c r="G344" t="inlineStr">
        <is>
          <t>MUNKEDAL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45155</v>
      </c>
      <c r="E345" s="1" t="n">
        <v>46230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46230</v>
      </c>
      <c r="F346" t="inlineStr">
        <is>
          <t>VÄSTRA GÖTALANDS LÄN</t>
        </is>
      </c>
      <c r="G346" t="inlineStr">
        <is>
          <t>MUNKEDAL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45488</v>
      </c>
      <c r="E347" s="1" t="n">
        <v>46230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44984</v>
      </c>
      <c r="E348" s="1" t="n">
        <v>46230</v>
      </c>
      <c r="F348" t="inlineStr">
        <is>
          <t>VÄSTRA GÖTALANDS LÄN</t>
        </is>
      </c>
      <c r="G348" t="inlineStr">
        <is>
          <t>MUNKEDAL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45489</v>
      </c>
      <c r="E349" s="1" t="n">
        <v>46230</v>
      </c>
      <c r="F349" t="inlineStr">
        <is>
          <t>VÄSTRA GÖTALANDS LÄN</t>
        </is>
      </c>
      <c r="G349" t="inlineStr">
        <is>
          <t>MUNKEDAL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46230</v>
      </c>
      <c r="F350" t="inlineStr">
        <is>
          <t>VÄSTRA GÖTALANDS LÄN</t>
        </is>
      </c>
      <c r="G350" t="inlineStr">
        <is>
          <t>MUNKEDAL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45282</v>
      </c>
      <c r="E351" s="1" t="n">
        <v>46230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46230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46230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Kommuner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45055</v>
      </c>
      <c r="E354" s="1" t="n">
        <v>46230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45640</v>
      </c>
      <c r="E355" s="1" t="n">
        <v>46230</v>
      </c>
      <c r="F355" t="inlineStr">
        <is>
          <t>VÄSTRA GÖTALANDS LÄN</t>
        </is>
      </c>
      <c r="G355" t="inlineStr">
        <is>
          <t>MUNKEDAL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46230</v>
      </c>
      <c r="F356" t="inlineStr">
        <is>
          <t>VÄSTRA GÖTALANDS LÄN</t>
        </is>
      </c>
      <c r="G356" t="inlineStr">
        <is>
          <t>MUNKEDAL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11268-2024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45371</v>
      </c>
      <c r="E357" s="1" t="n">
        <v>46230</v>
      </c>
      <c r="F357" t="inlineStr">
        <is>
          <t>VÄSTRA GÖTALANDS LÄN</t>
        </is>
      </c>
      <c r="G357" t="inlineStr">
        <is>
          <t>MUNKEDAL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46230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46230</v>
      </c>
      <c r="F359" t="inlineStr">
        <is>
          <t>VÄSTRA GÖTALANDS LÄN</t>
        </is>
      </c>
      <c r="G359" t="inlineStr">
        <is>
          <t>MUNKEDAL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44588</v>
      </c>
      <c r="E360" s="1" t="n">
        <v>46230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45138</v>
      </c>
      <c r="E361" s="1" t="n">
        <v>46230</v>
      </c>
      <c r="F361" t="inlineStr">
        <is>
          <t>VÄSTRA GÖTALANDS LÄN</t>
        </is>
      </c>
      <c r="G361" t="inlineStr">
        <is>
          <t>MUNKEDAL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67233-2021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44523</v>
      </c>
      <c r="E362" s="1" t="n">
        <v>46230</v>
      </c>
      <c r="F362" t="inlineStr">
        <is>
          <t>VÄSTRA GÖTALANDS LÄN</t>
        </is>
      </c>
      <c r="G362" t="inlineStr">
        <is>
          <t>MUNKEDAL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46230</v>
      </c>
      <c r="F363" t="inlineStr">
        <is>
          <t>VÄSTRA GÖTALANDS LÄN</t>
        </is>
      </c>
      <c r="G363" t="inlineStr">
        <is>
          <t>MUNKEDAL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46230</v>
      </c>
      <c r="F364" t="inlineStr">
        <is>
          <t>VÄSTRA GÖTALANDS LÄN</t>
        </is>
      </c>
      <c r="G364" t="inlineStr">
        <is>
          <t>MUNKEDAL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45296</v>
      </c>
      <c r="E365" s="1" t="n">
        <v>46230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Kyrkan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46230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44620-2021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44436</v>
      </c>
      <c r="E367" s="1" t="n">
        <v>46230</v>
      </c>
      <c r="F367" t="inlineStr">
        <is>
          <t>VÄSTRA GÖTALANDS LÄN</t>
        </is>
      </c>
      <c r="G367" t="inlineStr">
        <is>
          <t>MUNKEDAL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46230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9021-2024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45356</v>
      </c>
      <c r="E369" s="1" t="n">
        <v>46230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11262-2024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46230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17678-2024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45418</v>
      </c>
      <c r="E371" s="1" t="n">
        <v>46230</v>
      </c>
      <c r="F371" t="inlineStr">
        <is>
          <t>VÄSTRA GÖTALANDS LÄN</t>
        </is>
      </c>
      <c r="G371" t="inlineStr">
        <is>
          <t>MUNKEDAL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44704</v>
      </c>
      <c r="E372" s="1" t="n">
        <v>46230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45489</v>
      </c>
      <c r="E373" s="1" t="n">
        <v>46230</v>
      </c>
      <c r="F373" t="inlineStr">
        <is>
          <t>VÄSTRA GÖTALANDS LÄN</t>
        </is>
      </c>
      <c r="G373" t="inlineStr">
        <is>
          <t>MUNKEDAL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46230</v>
      </c>
      <c r="F374" t="inlineStr">
        <is>
          <t>VÄSTRA GÖTALANDS LÄN</t>
        </is>
      </c>
      <c r="G374" t="inlineStr">
        <is>
          <t>MUNKEDAL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46230</v>
      </c>
      <c r="F375" t="inlineStr">
        <is>
          <t>VÄSTRA GÖTALANDS LÄN</t>
        </is>
      </c>
      <c r="G375" t="inlineStr">
        <is>
          <t>MUNKEDAL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46230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46230</v>
      </c>
      <c r="F377" t="inlineStr">
        <is>
          <t>VÄSTRA GÖTALANDS LÄN</t>
        </is>
      </c>
      <c r="G377" t="inlineStr">
        <is>
          <t>MUNKEDAL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21063-2025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46230</v>
      </c>
      <c r="F378" t="inlineStr">
        <is>
          <t>VÄSTRA GÖTALANDS LÄN</t>
        </is>
      </c>
      <c r="G378" t="inlineStr">
        <is>
          <t>MUNKEDAL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45778</v>
      </c>
      <c r="E379" s="1" t="n">
        <v>46230</v>
      </c>
      <c r="F379" t="inlineStr">
        <is>
          <t>VÄSTRA GÖTALANDS LÄN</t>
        </is>
      </c>
      <c r="G379" t="inlineStr">
        <is>
          <t>MUNKEDAL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45778</v>
      </c>
      <c r="E380" s="1" t="n">
        <v>46230</v>
      </c>
      <c r="F380" t="inlineStr">
        <is>
          <t>VÄSTRA GÖTALANDS LÄN</t>
        </is>
      </c>
      <c r="G380" t="inlineStr">
        <is>
          <t>MUNKEDAL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45784</v>
      </c>
      <c r="E381" s="1" t="n">
        <v>46230</v>
      </c>
      <c r="F381" t="inlineStr">
        <is>
          <t>VÄSTRA GÖTALANDS LÄN</t>
        </is>
      </c>
      <c r="G381" t="inlineStr">
        <is>
          <t>MUNKEDAL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45784</v>
      </c>
      <c r="E382" s="1" t="n">
        <v>46230</v>
      </c>
      <c r="F382" t="inlineStr">
        <is>
          <t>VÄSTRA GÖTALANDS LÄN</t>
        </is>
      </c>
      <c r="G382" t="inlineStr">
        <is>
          <t>MUNKEDAL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46230</v>
      </c>
      <c r="F383" t="inlineStr">
        <is>
          <t>VÄSTRA GÖTALANDS LÄN</t>
        </is>
      </c>
      <c r="G383" t="inlineStr">
        <is>
          <t>MUNKEDAL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45721</v>
      </c>
      <c r="E384" s="1" t="n">
        <v>46230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46230</v>
      </c>
      <c r="F385" t="inlineStr">
        <is>
          <t>VÄSTRA GÖTALANDS LÄN</t>
        </is>
      </c>
      <c r="G385" t="inlineStr">
        <is>
          <t>MUNKEDAL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45408</v>
      </c>
      <c r="E386" s="1" t="n">
        <v>46230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46230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26.5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46230</v>
      </c>
      <c r="F388" t="inlineStr">
        <is>
          <t>VÄSTRA GÖTALANDS LÄN</t>
        </is>
      </c>
      <c r="G388" t="inlineStr">
        <is>
          <t>MUNKEDAL</t>
        </is>
      </c>
      <c r="I388" t="n">
        <v>12.7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46230</v>
      </c>
      <c r="F389" t="inlineStr">
        <is>
          <t>VÄSTRA GÖTALANDS LÄN</t>
        </is>
      </c>
      <c r="G389" t="inlineStr">
        <is>
          <t>MUNKEDAL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46230</v>
      </c>
      <c r="F390" t="inlineStr">
        <is>
          <t>VÄSTRA GÖTALANDS LÄN</t>
        </is>
      </c>
      <c r="G390" t="inlineStr">
        <is>
          <t>MUNKEDAL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46230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45696</v>
      </c>
      <c r="E392" s="1" t="n">
        <v>46230</v>
      </c>
      <c r="F392" t="inlineStr">
        <is>
          <t>VÄSTRA GÖTALANDS LÄN</t>
        </is>
      </c>
      <c r="G392" t="inlineStr">
        <is>
          <t>MUNKEDAL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46230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44482-2023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45189</v>
      </c>
      <c r="E394" s="1" t="n">
        <v>46230</v>
      </c>
      <c r="F394" t="inlineStr">
        <is>
          <t>VÄSTRA GÖTALANDS LÄN</t>
        </is>
      </c>
      <c r="G394" t="inlineStr">
        <is>
          <t>MUNKEDAL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51411-2022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46230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45800</v>
      </c>
      <c r="E396" s="1" t="n">
        <v>46230</v>
      </c>
      <c r="F396" t="inlineStr">
        <is>
          <t>VÄSTRA GÖTALANDS LÄN</t>
        </is>
      </c>
      <c r="G396" t="inlineStr">
        <is>
          <t>MUNKEDAL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46230</v>
      </c>
      <c r="F397" t="inlineStr">
        <is>
          <t>VÄSTRA GÖTALANDS LÄN</t>
        </is>
      </c>
      <c r="G397" t="inlineStr">
        <is>
          <t>MUNKEDAL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19631-2022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44694</v>
      </c>
      <c r="E398" s="1" t="n">
        <v>46230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56867-2024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45625</v>
      </c>
      <c r="E399" s="1" t="n">
        <v>46230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45557</v>
      </c>
      <c r="E400" s="1" t="n">
        <v>46230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46230</v>
      </c>
      <c r="F401" t="inlineStr">
        <is>
          <t>VÄSTRA GÖTALANDS LÄN</t>
        </is>
      </c>
      <c r="G401" t="inlineStr">
        <is>
          <t>MUNKEDAL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45826</v>
      </c>
      <c r="E402" s="1" t="n">
        <v>46230</v>
      </c>
      <c r="F402" t="inlineStr">
        <is>
          <t>VÄSTRA GÖTALANDS LÄN</t>
        </is>
      </c>
      <c r="G402" t="inlineStr">
        <is>
          <t>MUNKEDAL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46230</v>
      </c>
      <c r="F403" t="inlineStr">
        <is>
          <t>VÄSTRA GÖTALANDS LÄN</t>
        </is>
      </c>
      <c r="G403" t="inlineStr">
        <is>
          <t>MUNKEDAL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46230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46230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45845</v>
      </c>
      <c r="E406" s="1" t="n">
        <v>46230</v>
      </c>
      <c r="F406" t="inlineStr">
        <is>
          <t>VÄSTRA GÖTALANDS LÄN</t>
        </is>
      </c>
      <c r="G406" t="inlineStr">
        <is>
          <t>MUNKEDAL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45632</v>
      </c>
      <c r="E407" s="1" t="n">
        <v>46230</v>
      </c>
      <c r="F407" t="inlineStr">
        <is>
          <t>VÄSTRA GÖTALANDS LÄN</t>
        </is>
      </c>
      <c r="G407" t="inlineStr">
        <is>
          <t>MUNKEDAL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46230</v>
      </c>
      <c r="F408" t="inlineStr">
        <is>
          <t>VÄSTRA GÖTALANDS LÄN</t>
        </is>
      </c>
      <c r="G408" t="inlineStr">
        <is>
          <t>MUNKEDAL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46230</v>
      </c>
      <c r="F409" t="inlineStr">
        <is>
          <t>VÄSTRA GÖTALANDS LÄN</t>
        </is>
      </c>
      <c r="G409" t="inlineStr">
        <is>
          <t>MUNKEDAL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46230</v>
      </c>
      <c r="F410" t="inlineStr">
        <is>
          <t>VÄSTRA GÖTALANDS LÄN</t>
        </is>
      </c>
      <c r="G410" t="inlineStr">
        <is>
          <t>MUNKEDAL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46230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46230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46230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46230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46230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2026-07-27T01:49:52Z</dcterms:created>
  <dcterms:modified xmlns:dcterms="http://purl.org/dc/terms/" xmlns:xsi="http://www.w3.org/2001/XMLSchema-instance" xsi:type="dcterms:W3CDTF">2026-07-27T01:49:52Z</dcterms:modified>
</cp:coreProperties>
</file>