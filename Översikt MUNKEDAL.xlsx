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46251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46251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46251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46251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46251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16972-2022</t>
        </is>
      </c>
      <c r="B12" t="inlineStr">
        <is>
          <t>avverkningsanmälan</t>
        </is>
      </c>
      <c r="C12" t="inlineStr">
        <is>
          <t>Användning av främmande trädart</t>
        </is>
      </c>
      <c r="D12" s="1" t="n">
        <v>44676</v>
      </c>
      <c r="E12" s="1" t="n">
        <v>46251</v>
      </c>
      <c r="F12" t="inlineStr">
        <is>
          <t>VÄSTRA GÖTALANDS LÄN</t>
        </is>
      </c>
      <c r="G12" t="inlineStr">
        <is>
          <t>MUNKEDAL</t>
        </is>
      </c>
      <c r="I12" t="n">
        <v>10.6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Dunmossa
Grön sköldmossa</t>
        </is>
      </c>
      <c r="W12">
        <f>HYPERLINK("https://klasma.github.io/Logging_1430/artfynd/A 16972-2022 artfynd.xlsx", "A 16972-2022")</f>
        <v/>
      </c>
      <c r="X12">
        <f>HYPERLINK("https://klasma.github.io/Logging_1430/kartor/A 16972-2022 karta.png", "A 16972-2022")</f>
        <v/>
      </c>
      <c r="Y12">
        <f>HYPERLINK("https://klasma.github.io/Logging_1430/kartor_geotiff/A 16972-2022 georefererad karta.tif", "A 16972-2022")</f>
        <v/>
      </c>
      <c r="AA12">
        <f>HYPERLINK("https://klasma.github.io/Logging_1430/klagomål/A 16972-2022 FSC-klagomål.docx", "A 16972-2022")</f>
        <v/>
      </c>
      <c r="AB12">
        <f>HYPERLINK("https://klasma.github.io/Logging_1430/klagomålsmail/A 16972-2022 FSC-klagomål mail.docx", "A 16972-2022")</f>
        <v/>
      </c>
      <c r="AC12">
        <f>HYPERLINK("https://klasma.github.io/Logging_1430/tillsyn/A 16972-2022 tillsynsbegäran.docx", "A 16972-2022")</f>
        <v/>
      </c>
      <c r="AD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46251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36912-2023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46251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2.7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Jaktfalk</t>
        </is>
      </c>
      <c r="W17">
        <f>HYPERLINK("https://klasma.github.io/Logging_1430/artfynd/A 36912-2023 artfynd.xlsx", "A 36912-2023")</f>
        <v/>
      </c>
      <c r="X17">
        <f>HYPERLINK("https://klasma.github.io/Logging_1430/kartor/A 36912-2023 karta.png", "A 36912-2023")</f>
        <v/>
      </c>
      <c r="Y17">
        <f>HYPERLINK("https://klasma.github.io/Logging_1430/kartor_geotiff/A 36912-2023 georefererad karta.tif", "A 36912-2023")</f>
        <v/>
      </c>
      <c r="AA17">
        <f>HYPERLINK("https://klasma.github.io/Logging_1430/klagomål/A 36912-2023 FSC-klagomål.docx", "A 36912-2023")</f>
        <v/>
      </c>
      <c r="AB17">
        <f>HYPERLINK("https://klasma.github.io/Logging_1430/klagomålsmail/A 36912-2023 FSC-klagomål mail.docx", "A 36912-2023")</f>
        <v/>
      </c>
      <c r="AC17">
        <f>HYPERLINK("https://klasma.github.io/Logging_1430/tillsyn/A 36912-2023 tillsynsbegäran.docx", "A 36912-2023")</f>
        <v/>
      </c>
      <c r="AD17">
        <f>HYPERLINK("https://klasma.github.io/Logging_1430/tillsynsmail/A 36912-2023 tillsynsbegäran mail.docx", "A 36912-2023")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46251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46251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46251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46251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46251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Trollsmultron</t>
        </is>
      </c>
      <c r="W22">
        <f>HYPERLINK("https://klasma.github.io/Logging_1430/artfynd/A 62525-2021 artfynd.xlsx", "A 62525-2021")</f>
        <v/>
      </c>
      <c r="X22">
        <f>HYPERLINK("https://klasma.github.io/Logging_1430/kartor/A 62525-2021 karta.png", "A 62525-2021")</f>
        <v/>
      </c>
      <c r="Y22">
        <f>HYPERLINK("https://klasma.github.io/Logging_1430/kartor_geotiff/A 62525-2021 georefererad karta.tif", "A 62525-2021")</f>
        <v/>
      </c>
      <c r="AA22">
        <f>HYPERLINK("https://klasma.github.io/Logging_1430/klagomål/A 62525-2021 FSC-klagomål.docx", "A 62525-2021")</f>
        <v/>
      </c>
      <c r="AB22">
        <f>HYPERLINK("https://klasma.github.io/Logging_1430/klagomålsmail/A 62525-2021 FSC-klagomål mail.docx", "A 62525-2021")</f>
        <v/>
      </c>
      <c r="AC22">
        <f>HYPERLINK("https://klasma.github.io/Logging_1430/tillsyn/A 62525-2021 tillsynsbegäran.docx", "A 62525-2021")</f>
        <v/>
      </c>
      <c r="AD22">
        <f>HYPERLINK("https://klasma.github.io/Logging_1430/tillsynsmail/A 62525-2021 tillsynsbegäran mail.docx", "A 62525-2021")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46251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46251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46251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HYPERLINK("https://klasma.github.io/Logging_1430/artfynd/A 58890-2022 artfynd.xlsx", "A 58890-2022")</f>
        <v/>
      </c>
      <c r="X25">
        <f>HYPERLINK("https://klasma.github.io/Logging_1430/kartor/A 58890-2022 karta.png", "A 58890-2022")</f>
        <v/>
      </c>
      <c r="Y25">
        <f>HYPERLINK("https://klasma.github.io/Logging_1430/kartor_geotiff/A 58890-2022 georefererad karta.tif", "A 58890-2022")</f>
        <v/>
      </c>
      <c r="AA25">
        <f>HYPERLINK("https://klasma.github.io/Logging_1430/klagomål/A 58890-2022 FSC-klagomål.docx", "A 58890-2022")</f>
        <v/>
      </c>
      <c r="AB25">
        <f>HYPERLINK("https://klasma.github.io/Logging_1430/klagomålsmail/A 58890-2022 FSC-klagomål mail.docx", "A 58890-2022")</f>
        <v/>
      </c>
      <c r="AC25">
        <f>HYPERLINK("https://klasma.github.io/Logging_1430/tillsyn/A 58890-2022 tillsynsbegäran.docx", "A 58890-2022")</f>
        <v/>
      </c>
      <c r="AD25">
        <f>HYPERLINK("https://klasma.github.io/Logging_1430/tillsynsmail/A 58890-2022 tillsynsbegäran mail.docx", "A 58890-2022")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46251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46251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46251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45160-2024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46251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Naturvårdsverket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HYPERLINK("https://klasma.github.io/Logging_1430/artfynd/A 45160-2024 artfynd.xlsx", "A 45160-2024")</f>
        <v/>
      </c>
      <c r="X29">
        <f>HYPERLINK("https://klasma.github.io/Logging_1430/kartor/A 45160-2024 karta.png", "A 45160-2024")</f>
        <v/>
      </c>
      <c r="Y29">
        <f>HYPERLINK("https://klasma.github.io/Logging_1430/kartor_geotiff/A 45160-2024 georefererad karta.tif", "A 45160-2024")</f>
        <v/>
      </c>
      <c r="AA29">
        <f>HYPERLINK("https://klasma.github.io/Logging_1430/klagomål/A 45160-2024 FSC-klagomål.docx", "A 45160-2024")</f>
        <v/>
      </c>
      <c r="AB29">
        <f>HYPERLINK("https://klasma.github.io/Logging_1430/klagomålsmail/A 45160-2024 FSC-klagomål mail.docx", "A 45160-2024")</f>
        <v/>
      </c>
      <c r="AC29">
        <f>HYPERLINK("https://klasma.github.io/Logging_1430/tillsyn/A 45160-2024 tillsynsbegäran.docx", "A 45160-2024")</f>
        <v/>
      </c>
      <c r="AD29">
        <f>HYPERLINK("https://klasma.github.io/Logging_1430/tillsynsmail/A 45160-2024 tillsynsbegäran mail.docx", "A 45160-2024")</f>
        <v/>
      </c>
      <c r="AE29">
        <f>HYPERLINK("https://klasma.github.io/Logging_1430/fåglar/A 45160-2024 prioriterade fågelarter.docx", "A 45160-2024")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46251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1647-2025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46251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19.8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HYPERLINK("https://klasma.github.io/Logging_1430/artfynd/A 1647-2025 artfynd.xlsx", "A 1647-2025")</f>
        <v/>
      </c>
      <c r="X31">
        <f>HYPERLINK("https://klasma.github.io/Logging_1430/kartor/A 1647-2025 karta.png", "A 1647-2025")</f>
        <v/>
      </c>
      <c r="Y31">
        <f>HYPERLINK("https://klasma.github.io/Logging_1430/kartor_geotiff/A 1647-2025 georefererad karta.tif", "A 1647-2025")</f>
        <v/>
      </c>
      <c r="AA31">
        <f>HYPERLINK("https://klasma.github.io/Logging_1430/klagomål/A 1647-2025 FSC-klagomål.docx", "A 1647-2025")</f>
        <v/>
      </c>
      <c r="AB31">
        <f>HYPERLINK("https://klasma.github.io/Logging_1430/klagomålsmail/A 1647-2025 FSC-klagomål mail.docx", "A 1647-2025")</f>
        <v/>
      </c>
      <c r="AC31">
        <f>HYPERLINK("https://klasma.github.io/Logging_1430/tillsyn/A 1647-2025 tillsynsbegäran.docx", "A 1647-2025")</f>
        <v/>
      </c>
      <c r="AD31">
        <f>HYPERLINK("https://klasma.github.io/Logging_1430/tillsynsmail/A 1647-2025 tillsynsbegäran mail.docx", "A 1647-2025")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46251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46251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46251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46251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46251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46251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46251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46251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46251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46251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46251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46251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46251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46251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46251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46251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46251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46251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46251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46251</v>
      </c>
      <c r="F51" t="inlineStr">
        <is>
          <t>VÄSTRA GÖTALANDS LÄN</t>
        </is>
      </c>
      <c r="G51" t="inlineStr">
        <is>
          <t>MUNKEDAL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46251</v>
      </c>
      <c r="F52" t="inlineStr">
        <is>
          <t>VÄSTRA GÖTALANDS LÄN</t>
        </is>
      </c>
      <c r="G52" t="inlineStr">
        <is>
          <t>MUNKEDAL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46251</v>
      </c>
      <c r="F53" t="inlineStr">
        <is>
          <t>VÄSTRA GÖTALANDS LÄN</t>
        </is>
      </c>
      <c r="G53" t="inlineStr">
        <is>
          <t>MUNKEDAL</t>
        </is>
      </c>
      <c r="H53" t="inlineStr">
        <is>
          <t>Övriga Aktiebolag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46251</v>
      </c>
      <c r="F54" t="inlineStr">
        <is>
          <t>VÄSTRA GÖTALANDS LÄN</t>
        </is>
      </c>
      <c r="G54" t="inlineStr">
        <is>
          <t>MUNKEDAL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46251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46251</v>
      </c>
      <c r="F56" t="inlineStr">
        <is>
          <t>VÄSTRA GÖTALANDS LÄN</t>
        </is>
      </c>
      <c r="G56" t="inlineStr">
        <is>
          <t>MUNKEDAL</t>
        </is>
      </c>
      <c r="H56" t="inlineStr">
        <is>
          <t>Övriga Aktiebolag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21129-2022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46251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46251</v>
      </c>
      <c r="F58" t="inlineStr">
        <is>
          <t>VÄSTRA GÖTALANDS LÄN</t>
        </is>
      </c>
      <c r="G58" t="inlineStr">
        <is>
          <t>MUNKEDAL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40940-2022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46251</v>
      </c>
      <c r="F59" t="inlineStr">
        <is>
          <t>VÄSTRA GÖTALANDS LÄN</t>
        </is>
      </c>
      <c r="G59" t="inlineStr">
        <is>
          <t>MUNKEDAL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46251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46251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46251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46251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46251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46251</v>
      </c>
      <c r="F65" t="inlineStr">
        <is>
          <t>VÄSTRA GÖTALANDS LÄN</t>
        </is>
      </c>
      <c r="G65" t="inlineStr">
        <is>
          <t>MUNKEDAL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45750</v>
      </c>
      <c r="E66" s="1" t="n">
        <v>46251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45484</v>
      </c>
      <c r="E67" s="1" t="n">
        <v>46251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45314</v>
      </c>
      <c r="E68" s="1" t="n">
        <v>46251</v>
      </c>
      <c r="F68" t="inlineStr">
        <is>
          <t>VÄSTRA GÖTALANDS LÄN</t>
        </is>
      </c>
      <c r="G68" t="inlineStr">
        <is>
          <t>MUNKEDAL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45709</v>
      </c>
      <c r="E69" s="1" t="n">
        <v>46251</v>
      </c>
      <c r="F69" t="inlineStr">
        <is>
          <t>VÄSTRA GÖTALANDS LÄN</t>
        </is>
      </c>
      <c r="G69" t="inlineStr">
        <is>
          <t>MUNKEDAL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44609</v>
      </c>
      <c r="E70" s="1" t="n">
        <v>46251</v>
      </c>
      <c r="F70" t="inlineStr">
        <is>
          <t>VÄSTRA GÖTALANDS LÄN</t>
        </is>
      </c>
      <c r="G70" t="inlineStr">
        <is>
          <t>MUNKEDAL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46251</v>
      </c>
      <c r="F71" t="inlineStr">
        <is>
          <t>VÄSTRA GÖTALANDS LÄN</t>
        </is>
      </c>
      <c r="G71" t="inlineStr">
        <is>
          <t>MUNKEDAL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46251</v>
      </c>
      <c r="F72" t="inlineStr">
        <is>
          <t>VÄSTRA GÖTALANDS LÄN</t>
        </is>
      </c>
      <c r="G72" t="inlineStr">
        <is>
          <t>MUNKEDAL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45881</v>
      </c>
      <c r="E73" s="1" t="n">
        <v>46251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46251</v>
      </c>
      <c r="F74" t="inlineStr">
        <is>
          <t>VÄSTRA GÖTALANDS LÄN</t>
        </is>
      </c>
      <c r="G74" t="inlineStr">
        <is>
          <t>MUNKEDAL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45293</v>
      </c>
      <c r="E75" s="1" t="n">
        <v>46251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46251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45160</v>
      </c>
      <c r="E77" s="1" t="n">
        <v>46251</v>
      </c>
      <c r="F77" t="inlineStr">
        <is>
          <t>VÄSTRA GÖTALANDS LÄN</t>
        </is>
      </c>
      <c r="G77" t="inlineStr">
        <is>
          <t>MUNKEDAL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46251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44697</v>
      </c>
      <c r="E79" s="1" t="n">
        <v>46251</v>
      </c>
      <c r="F79" t="inlineStr">
        <is>
          <t>VÄSTRA GÖTALANDS LÄN</t>
        </is>
      </c>
      <c r="G79" t="inlineStr">
        <is>
          <t>MUNKEDAL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46251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25.2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46251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46251</v>
      </c>
      <c r="F82" t="inlineStr">
        <is>
          <t>VÄSTRA GÖTALANDS LÄN</t>
        </is>
      </c>
      <c r="G82" t="inlineStr">
        <is>
          <t>MUNKEDAL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46251</v>
      </c>
      <c r="F83" t="inlineStr">
        <is>
          <t>VÄSTRA GÖTALANDS LÄN</t>
        </is>
      </c>
      <c r="G83" t="inlineStr">
        <is>
          <t>MUNKEDAL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46251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46251</v>
      </c>
      <c r="F85" t="inlineStr">
        <is>
          <t>VÄSTRA GÖTALANDS LÄN</t>
        </is>
      </c>
      <c r="G85" t="inlineStr">
        <is>
          <t>MUNKEDAL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46251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46251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46251</v>
      </c>
      <c r="F88" t="inlineStr">
        <is>
          <t>VÄSTRA GÖTALANDS LÄN</t>
        </is>
      </c>
      <c r="G88" t="inlineStr">
        <is>
          <t>MUNKEDAL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46251</v>
      </c>
      <c r="F89" t="inlineStr">
        <is>
          <t>VÄSTRA GÖTALANDS LÄN</t>
        </is>
      </c>
      <c r="G89" t="inlineStr">
        <is>
          <t>MUNKEDAL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45296</v>
      </c>
      <c r="E90" s="1" t="n">
        <v>46251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46251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46251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Naturvårdsverket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46251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44774</v>
      </c>
      <c r="E94" s="1" t="n">
        <v>46251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46251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46251</v>
      </c>
      <c r="F96" t="inlineStr">
        <is>
          <t>VÄSTRA GÖTALANDS LÄN</t>
        </is>
      </c>
      <c r="G96" t="inlineStr">
        <is>
          <t>MUNKEDAL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46251</v>
      </c>
      <c r="F97" t="inlineStr">
        <is>
          <t>VÄSTRA GÖTALANDS LÄN</t>
        </is>
      </c>
      <c r="G97" t="inlineStr">
        <is>
          <t>MUNKEDAL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46251</v>
      </c>
      <c r="F98" t="inlineStr">
        <is>
          <t>VÄSTRA GÖTALANDS LÄN</t>
        </is>
      </c>
      <c r="G98" t="inlineStr">
        <is>
          <t>MUNKEDAL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58617-2023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46251</v>
      </c>
      <c r="F99" t="inlineStr">
        <is>
          <t>VÄSTRA GÖTALANDS LÄN</t>
        </is>
      </c>
      <c r="G99" t="inlineStr">
        <is>
          <t>MUNKEDAL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46251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46251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46251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46251</v>
      </c>
      <c r="F103" t="inlineStr">
        <is>
          <t>VÄSTRA GÖTALANDS LÄN</t>
        </is>
      </c>
      <c r="G103" t="inlineStr">
        <is>
          <t>MUNKEDAL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46251</v>
      </c>
      <c r="F104" t="inlineStr">
        <is>
          <t>VÄSTRA GÖTALANDS LÄN</t>
        </is>
      </c>
      <c r="G104" t="inlineStr">
        <is>
          <t>MUNKEDAL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46251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46251</v>
      </c>
      <c r="F106" t="inlineStr">
        <is>
          <t>VÄSTRA GÖTALANDS LÄN</t>
        </is>
      </c>
      <c r="G106" t="inlineStr">
        <is>
          <t>MUNKEDAL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46251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46251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46251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46251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46251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46251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46251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46251</v>
      </c>
      <c r="F114" t="inlineStr">
        <is>
          <t>VÄSTRA GÖTALANDS LÄN</t>
        </is>
      </c>
      <c r="G114" t="inlineStr">
        <is>
          <t>MUNKEDAL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46251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46251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46251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46251</v>
      </c>
      <c r="F118" t="inlineStr">
        <is>
          <t>VÄSTRA GÖTALANDS LÄN</t>
        </is>
      </c>
      <c r="G118" t="inlineStr">
        <is>
          <t>MUNKEDAL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46251</v>
      </c>
      <c r="F119" t="inlineStr">
        <is>
          <t>VÄSTRA GÖTALANDS LÄN</t>
        </is>
      </c>
      <c r="G119" t="inlineStr">
        <is>
          <t>MUNKEDAL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46251</v>
      </c>
      <c r="F120" t="inlineStr">
        <is>
          <t>VÄSTRA GÖTALANDS LÄN</t>
        </is>
      </c>
      <c r="G120" t="inlineStr">
        <is>
          <t>MUNKEDAL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46251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46251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46251</v>
      </c>
      <c r="F123" t="inlineStr">
        <is>
          <t>VÄSTRA GÖTALANDS LÄN</t>
        </is>
      </c>
      <c r="G123" t="inlineStr">
        <is>
          <t>MUNKEDAL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46251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Kyrkan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46251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46251</v>
      </c>
      <c r="F126" t="inlineStr">
        <is>
          <t>VÄSTRA GÖTALANDS LÄN</t>
        </is>
      </c>
      <c r="G126" t="inlineStr">
        <is>
          <t>MUNKEDAL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46251</v>
      </c>
      <c r="F127" t="inlineStr">
        <is>
          <t>VÄSTRA GÖTALANDS LÄN</t>
        </is>
      </c>
      <c r="G127" t="inlineStr">
        <is>
          <t>MUNKEDAL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46251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46251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46251</v>
      </c>
      <c r="F130" t="inlineStr">
        <is>
          <t>VÄSTRA GÖTALANDS LÄN</t>
        </is>
      </c>
      <c r="G130" t="inlineStr">
        <is>
          <t>MUNKEDAL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46251</v>
      </c>
      <c r="F131" t="inlineStr">
        <is>
          <t>VÄSTRA GÖTALANDS LÄN</t>
        </is>
      </c>
      <c r="G131" t="inlineStr">
        <is>
          <t>MUNKEDAL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46251</v>
      </c>
      <c r="F132" t="inlineStr">
        <is>
          <t>VÄSTRA GÖTALANDS LÄN</t>
        </is>
      </c>
      <c r="G132" t="inlineStr">
        <is>
          <t>MUNKEDAL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46251</v>
      </c>
      <c r="F133" t="inlineStr">
        <is>
          <t>VÄSTRA GÖTALANDS LÄN</t>
        </is>
      </c>
      <c r="G133" t="inlineStr">
        <is>
          <t>MUNKEDAL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46251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46251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46251</v>
      </c>
      <c r="F136" t="inlineStr">
        <is>
          <t>VÄSTRA GÖTALANDS LÄN</t>
        </is>
      </c>
      <c r="G136" t="inlineStr">
        <is>
          <t>MUNKEDAL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44904</v>
      </c>
      <c r="E137" s="1" t="n">
        <v>46251</v>
      </c>
      <c r="F137" t="inlineStr">
        <is>
          <t>VÄSTRA GÖTALANDS LÄN</t>
        </is>
      </c>
      <c r="G137" t="inlineStr">
        <is>
          <t>MUNKEDAL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46251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46251</v>
      </c>
      <c r="F139" t="inlineStr">
        <is>
          <t>VÄSTRA GÖTALANDS LÄN</t>
        </is>
      </c>
      <c r="G139" t="inlineStr">
        <is>
          <t>MUNKEDAL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46251</v>
      </c>
      <c r="F140" t="inlineStr">
        <is>
          <t>VÄSTRA GÖTALANDS LÄN</t>
        </is>
      </c>
      <c r="G140" t="inlineStr">
        <is>
          <t>MUNKEDAL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46251</v>
      </c>
      <c r="F141" t="inlineStr">
        <is>
          <t>VÄSTRA GÖTALANDS LÄN</t>
        </is>
      </c>
      <c r="G141" t="inlineStr">
        <is>
          <t>MUNKEDAL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46251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46251</v>
      </c>
      <c r="F143" t="inlineStr">
        <is>
          <t>VÄSTRA GÖTALANDS LÄN</t>
        </is>
      </c>
      <c r="G143" t="inlineStr">
        <is>
          <t>MUNKEDAL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44439</v>
      </c>
      <c r="E144" s="1" t="n">
        <v>46251</v>
      </c>
      <c r="F144" t="inlineStr">
        <is>
          <t>VÄSTRA GÖTALANDS LÄN</t>
        </is>
      </c>
      <c r="G144" t="inlineStr">
        <is>
          <t>MUNKEDAL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46251</v>
      </c>
      <c r="F145" t="inlineStr">
        <is>
          <t>VÄSTRA GÖTALANDS LÄN</t>
        </is>
      </c>
      <c r="G145" t="inlineStr">
        <is>
          <t>MUNKEDAL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46091</v>
      </c>
      <c r="E146" s="1" t="n">
        <v>46251</v>
      </c>
      <c r="F146" t="inlineStr">
        <is>
          <t>VÄSTRA GÖTALANDS LÄN</t>
        </is>
      </c>
      <c r="G146" t="inlineStr">
        <is>
          <t>MUNKEDAL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46251</v>
      </c>
      <c r="F147" t="inlineStr">
        <is>
          <t>VÄSTRA GÖTALANDS LÄN</t>
        </is>
      </c>
      <c r="G147" t="inlineStr">
        <is>
          <t>MUNKEDAL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45522</v>
      </c>
      <c r="E148" s="1" t="n">
        <v>46251</v>
      </c>
      <c r="F148" t="inlineStr">
        <is>
          <t>VÄSTRA GÖTALANDS LÄN</t>
        </is>
      </c>
      <c r="G148" t="inlineStr">
        <is>
          <t>MUNKEDAL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45619</v>
      </c>
      <c r="E149" s="1" t="n">
        <v>46251</v>
      </c>
      <c r="F149" t="inlineStr">
        <is>
          <t>VÄSTRA GÖTALANDS LÄN</t>
        </is>
      </c>
      <c r="G149" t="inlineStr">
        <is>
          <t>MUNKEDAL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59171-2022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46251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46251</v>
      </c>
      <c r="F151" t="inlineStr">
        <is>
          <t>VÄSTRA GÖTALANDS LÄN</t>
        </is>
      </c>
      <c r="G151" t="inlineStr">
        <is>
          <t>MUNKEDAL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46251</v>
      </c>
      <c r="F152" t="inlineStr">
        <is>
          <t>VÄSTRA GÖTALANDS LÄN</t>
        </is>
      </c>
      <c r="G152" t="inlineStr">
        <is>
          <t>MUNKEDAL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46251</v>
      </c>
      <c r="F153" t="inlineStr">
        <is>
          <t>VÄSTRA GÖTALANDS LÄN</t>
        </is>
      </c>
      <c r="G153" t="inlineStr">
        <is>
          <t>MUNKEDAL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46251</v>
      </c>
      <c r="F154" t="inlineStr">
        <is>
          <t>VÄSTRA GÖTALANDS LÄN</t>
        </is>
      </c>
      <c r="G154" t="inlineStr">
        <is>
          <t>MUNKEDAL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46251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45029</v>
      </c>
      <c r="E156" s="1" t="n">
        <v>46251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46101</v>
      </c>
      <c r="E157" s="1" t="n">
        <v>46251</v>
      </c>
      <c r="F157" t="inlineStr">
        <is>
          <t>VÄSTRA GÖTALANDS LÄN</t>
        </is>
      </c>
      <c r="G157" t="inlineStr">
        <is>
          <t>MUNKEDAL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46251</v>
      </c>
      <c r="F158" t="inlineStr">
        <is>
          <t>VÄSTRA GÖTALANDS LÄN</t>
        </is>
      </c>
      <c r="G158" t="inlineStr">
        <is>
          <t>MUNKEDAL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46251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46251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46251</v>
      </c>
      <c r="F161" t="inlineStr">
        <is>
          <t>VÄSTRA GÖTALANDS LÄN</t>
        </is>
      </c>
      <c r="G161" t="inlineStr">
        <is>
          <t>MUNKEDAL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46251</v>
      </c>
      <c r="F162" t="inlineStr">
        <is>
          <t>VÄSTRA GÖTALANDS LÄN</t>
        </is>
      </c>
      <c r="G162" t="inlineStr">
        <is>
          <t>MUNKEDAL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46251</v>
      </c>
      <c r="F163" t="inlineStr">
        <is>
          <t>VÄSTRA GÖTALANDS LÄN</t>
        </is>
      </c>
      <c r="G163" t="inlineStr">
        <is>
          <t>MUNKEDAL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46251</v>
      </c>
      <c r="F164" t="inlineStr">
        <is>
          <t>VÄSTRA GÖTALANDS LÄN</t>
        </is>
      </c>
      <c r="G164" t="inlineStr">
        <is>
          <t>MUNKEDAL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46251</v>
      </c>
      <c r="F165" t="inlineStr">
        <is>
          <t>VÄSTRA GÖTALANDS LÄN</t>
        </is>
      </c>
      <c r="G165" t="inlineStr">
        <is>
          <t>MUNKEDAL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46251</v>
      </c>
      <c r="F166" t="inlineStr">
        <is>
          <t>VÄSTRA GÖTALANDS LÄN</t>
        </is>
      </c>
      <c r="G166" t="inlineStr">
        <is>
          <t>MUNKEDAL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45322</v>
      </c>
      <c r="E167" s="1" t="n">
        <v>46251</v>
      </c>
      <c r="F167" t="inlineStr">
        <is>
          <t>VÄSTRA GÖTALANDS LÄN</t>
        </is>
      </c>
      <c r="G167" t="inlineStr">
        <is>
          <t>MUNKEDAL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46251</v>
      </c>
      <c r="F168" t="inlineStr">
        <is>
          <t>VÄSTRA GÖTALANDS LÄN</t>
        </is>
      </c>
      <c r="G168" t="inlineStr">
        <is>
          <t>MUNKEDAL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46251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45400</v>
      </c>
      <c r="E170" s="1" t="n">
        <v>46251</v>
      </c>
      <c r="F170" t="inlineStr">
        <is>
          <t>VÄSTRA GÖTALANDS LÄN</t>
        </is>
      </c>
      <c r="G170" t="inlineStr">
        <is>
          <t>MUNKEDAL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46251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44606</v>
      </c>
      <c r="E172" s="1" t="n">
        <v>46251</v>
      </c>
      <c r="F172" t="inlineStr">
        <is>
          <t>VÄSTRA GÖTALANDS LÄN</t>
        </is>
      </c>
      <c r="G172" t="inlineStr">
        <is>
          <t>MUNKEDAL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45489</v>
      </c>
      <c r="E173" s="1" t="n">
        <v>46251</v>
      </c>
      <c r="F173" t="inlineStr">
        <is>
          <t>VÄSTRA GÖTALANDS LÄN</t>
        </is>
      </c>
      <c r="G173" t="inlineStr">
        <is>
          <t>MUNKEDAL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46251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46251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46251</v>
      </c>
      <c r="F176" t="inlineStr">
        <is>
          <t>VÄSTRA GÖTALANDS LÄN</t>
        </is>
      </c>
      <c r="G176" t="inlineStr">
        <is>
          <t>MUNKEDAL</t>
        </is>
      </c>
      <c r="I176" t="n">
        <v>16.3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46251</v>
      </c>
      <c r="F177" t="inlineStr">
        <is>
          <t>VÄSTRA GÖTALANDS LÄN</t>
        </is>
      </c>
      <c r="G177" t="inlineStr">
        <is>
          <t>MUNKEDAL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46251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46251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46251</v>
      </c>
      <c r="F180" t="inlineStr">
        <is>
          <t>VÄSTRA GÖTALANDS LÄN</t>
        </is>
      </c>
      <c r="G180" t="inlineStr">
        <is>
          <t>MUNKEDAL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46251</v>
      </c>
      <c r="F181" t="inlineStr">
        <is>
          <t>VÄSTRA GÖTALANDS LÄN</t>
        </is>
      </c>
      <c r="G181" t="inlineStr">
        <is>
          <t>MUNKEDAL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46251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46251</v>
      </c>
      <c r="F183" t="inlineStr">
        <is>
          <t>VÄSTRA GÖTALANDS LÄN</t>
        </is>
      </c>
      <c r="G183" t="inlineStr">
        <is>
          <t>MUNKEDAL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44929</v>
      </c>
      <c r="E184" s="1" t="n">
        <v>46251</v>
      </c>
      <c r="F184" t="inlineStr">
        <is>
          <t>VÄSTRA GÖTALANDS LÄN</t>
        </is>
      </c>
      <c r="G184" t="inlineStr">
        <is>
          <t>MUNKEDAL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46251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46251</v>
      </c>
      <c r="F186" t="inlineStr">
        <is>
          <t>VÄSTRA GÖTALANDS LÄN</t>
        </is>
      </c>
      <c r="G186" t="inlineStr">
        <is>
          <t>MUNKEDAL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46251</v>
      </c>
      <c r="F187" t="inlineStr">
        <is>
          <t>VÄSTRA GÖTALANDS LÄN</t>
        </is>
      </c>
      <c r="G187" t="inlineStr">
        <is>
          <t>MUNKEDAL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46251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46251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46251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46251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46251</v>
      </c>
      <c r="F192" t="inlineStr">
        <is>
          <t>VÄSTRA GÖTALANDS LÄN</t>
        </is>
      </c>
      <c r="G192" t="inlineStr">
        <is>
          <t>MUNKEDAL</t>
        </is>
      </c>
      <c r="I192" t="n">
        <v>17.5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46251</v>
      </c>
      <c r="F193" t="inlineStr">
        <is>
          <t>VÄSTRA GÖTALANDS LÄN</t>
        </is>
      </c>
      <c r="G193" t="inlineStr">
        <is>
          <t>MUNKEDAL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46251</v>
      </c>
      <c r="F194" t="inlineStr">
        <is>
          <t>VÄSTRA GÖTALANDS LÄN</t>
        </is>
      </c>
      <c r="G194" t="inlineStr">
        <is>
          <t>MUNKEDAL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46251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46251</v>
      </c>
      <c r="F196" t="inlineStr">
        <is>
          <t>VÄSTRA GÖTALANDS LÄN</t>
        </is>
      </c>
      <c r="G196" t="inlineStr">
        <is>
          <t>MUNKEDAL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46251</v>
      </c>
      <c r="F197" t="inlineStr">
        <is>
          <t>VÄSTRA GÖTALANDS LÄN</t>
        </is>
      </c>
      <c r="G197" t="inlineStr">
        <is>
          <t>MUNKEDAL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47378-2021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21.7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46251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46251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46251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46251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46251</v>
      </c>
      <c r="F203" t="inlineStr">
        <is>
          <t>VÄSTRA GÖTALANDS LÄN</t>
        </is>
      </c>
      <c r="G203" t="inlineStr">
        <is>
          <t>MUNKEDAL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46251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Kommuner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46251</v>
      </c>
      <c r="F205" t="inlineStr">
        <is>
          <t>VÄSTRA GÖTALANDS LÄN</t>
        </is>
      </c>
      <c r="G205" t="inlineStr">
        <is>
          <t>MUNKEDAL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46251</v>
      </c>
      <c r="F206" t="inlineStr">
        <is>
          <t>VÄSTRA GÖTALANDS LÄN</t>
        </is>
      </c>
      <c r="G206" t="inlineStr">
        <is>
          <t>MUNKEDAL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46251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45640</v>
      </c>
      <c r="E208" s="1" t="n">
        <v>46251</v>
      </c>
      <c r="F208" t="inlineStr">
        <is>
          <t>VÄSTRA GÖTALANDS LÄN</t>
        </is>
      </c>
      <c r="G208" t="inlineStr">
        <is>
          <t>MUNKEDAL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46251</v>
      </c>
      <c r="F209" t="inlineStr">
        <is>
          <t>VÄSTRA GÖTALANDS LÄN</t>
        </is>
      </c>
      <c r="G209" t="inlineStr">
        <is>
          <t>MUNKEDAL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45049</v>
      </c>
      <c r="E210" s="1" t="n">
        <v>46251</v>
      </c>
      <c r="F210" t="inlineStr">
        <is>
          <t>VÄSTRA GÖTALANDS LÄN</t>
        </is>
      </c>
      <c r="G210" t="inlineStr">
        <is>
          <t>MUNKEDAL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46251</v>
      </c>
      <c r="F211" t="inlineStr">
        <is>
          <t>VÄSTRA GÖTALANDS LÄN</t>
        </is>
      </c>
      <c r="G211" t="inlineStr">
        <is>
          <t>MUNKEDAL</t>
        </is>
      </c>
      <c r="I211" t="n">
        <v>15.4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46251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46251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49946-2021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44454</v>
      </c>
      <c r="E214" s="1" t="n">
        <v>46251</v>
      </c>
      <c r="F214" t="inlineStr">
        <is>
          <t>VÄSTRA GÖTALANDS LÄN</t>
        </is>
      </c>
      <c r="G214" t="inlineStr">
        <is>
          <t>MUNKEDAL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46251</v>
      </c>
      <c r="F215" t="inlineStr">
        <is>
          <t>VÄSTRA GÖTALANDS LÄN</t>
        </is>
      </c>
      <c r="G215" t="inlineStr">
        <is>
          <t>MUNKEDAL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46251</v>
      </c>
      <c r="F216" t="inlineStr">
        <is>
          <t>VÄSTRA GÖTALANDS LÄN</t>
        </is>
      </c>
      <c r="G216" t="inlineStr">
        <is>
          <t>MUNKEDAL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46251</v>
      </c>
      <c r="F217" t="inlineStr">
        <is>
          <t>VÄSTRA GÖTALANDS LÄN</t>
        </is>
      </c>
      <c r="G217" t="inlineStr">
        <is>
          <t>MUNKEDAL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44748</v>
      </c>
      <c r="E218" s="1" t="n">
        <v>46251</v>
      </c>
      <c r="F218" t="inlineStr">
        <is>
          <t>VÄSTRA GÖTALANDS LÄN</t>
        </is>
      </c>
      <c r="G218" t="inlineStr">
        <is>
          <t>MUNKEDAL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46251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46251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46251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30308-2022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44760</v>
      </c>
      <c r="E222" s="1" t="n">
        <v>46251</v>
      </c>
      <c r="F222" t="inlineStr">
        <is>
          <t>VÄSTRA GÖTALANDS LÄN</t>
        </is>
      </c>
      <c r="G222" t="inlineStr">
        <is>
          <t>MUNKEDAL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45070</v>
      </c>
      <c r="E223" s="1" t="n">
        <v>46251</v>
      </c>
      <c r="F223" t="inlineStr">
        <is>
          <t>VÄSTRA GÖTALANDS LÄN</t>
        </is>
      </c>
      <c r="G223" t="inlineStr">
        <is>
          <t>MUNKEDAL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46251</v>
      </c>
      <c r="F224" t="inlineStr">
        <is>
          <t>VÄSTRA GÖTALANDS LÄN</t>
        </is>
      </c>
      <c r="G224" t="inlineStr">
        <is>
          <t>MUNKEDAL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45005</v>
      </c>
      <c r="E225" s="1" t="n">
        <v>46251</v>
      </c>
      <c r="F225" t="inlineStr">
        <is>
          <t>VÄSTRA GÖTALANDS LÄN</t>
        </is>
      </c>
      <c r="G225" t="inlineStr">
        <is>
          <t>MUNKEDAL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46251</v>
      </c>
      <c r="F226" t="inlineStr">
        <is>
          <t>VÄSTRA GÖTALANDS LÄN</t>
        </is>
      </c>
      <c r="G226" t="inlineStr">
        <is>
          <t>MUNKEDAL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46251</v>
      </c>
      <c r="F227" t="inlineStr">
        <is>
          <t>VÄSTRA GÖTALANDS LÄN</t>
        </is>
      </c>
      <c r="G227" t="inlineStr">
        <is>
          <t>MUNKEDAL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46251</v>
      </c>
      <c r="F228" t="inlineStr">
        <is>
          <t>VÄSTRA GÖTALANDS LÄN</t>
        </is>
      </c>
      <c r="G228" t="inlineStr">
        <is>
          <t>MUNKEDAL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46251</v>
      </c>
      <c r="F229" t="inlineStr">
        <is>
          <t>VÄSTRA GÖTALANDS LÄN</t>
        </is>
      </c>
      <c r="G229" t="inlineStr">
        <is>
          <t>MUNKEDAL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46251</v>
      </c>
      <c r="F230" t="inlineStr">
        <is>
          <t>VÄSTRA GÖTALANDS LÄN</t>
        </is>
      </c>
      <c r="G230" t="inlineStr">
        <is>
          <t>MUNKEDAL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46251</v>
      </c>
      <c r="F231" t="inlineStr">
        <is>
          <t>VÄSTRA GÖTALANDS LÄN</t>
        </is>
      </c>
      <c r="G231" t="inlineStr">
        <is>
          <t>MUNKEDAL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46251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46251</v>
      </c>
      <c r="F233" t="inlineStr">
        <is>
          <t>VÄSTRA GÖTALANDS LÄN</t>
        </is>
      </c>
      <c r="G233" t="inlineStr">
        <is>
          <t>MUNKEDAL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46251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46251</v>
      </c>
      <c r="F235" t="inlineStr">
        <is>
          <t>VÄSTRA GÖTALANDS LÄN</t>
        </is>
      </c>
      <c r="G235" t="inlineStr">
        <is>
          <t>MUNKEDAL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46251</v>
      </c>
      <c r="F236" t="inlineStr">
        <is>
          <t>VÄSTRA GÖTALANDS LÄN</t>
        </is>
      </c>
      <c r="G236" t="inlineStr">
        <is>
          <t>MUNKEDAL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46251</v>
      </c>
      <c r="F237" t="inlineStr">
        <is>
          <t>VÄSTRA GÖTALANDS LÄN</t>
        </is>
      </c>
      <c r="G237" t="inlineStr">
        <is>
          <t>MUNKEDAL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46251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46251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46251</v>
      </c>
      <c r="F240" t="inlineStr">
        <is>
          <t>VÄSTRA GÖTALANDS LÄN</t>
        </is>
      </c>
      <c r="G240" t="inlineStr">
        <is>
          <t>MUNKEDAL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46251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46251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46251</v>
      </c>
      <c r="F243" t="inlineStr">
        <is>
          <t>VÄSTRA GÖTALANDS LÄN</t>
        </is>
      </c>
      <c r="G243" t="inlineStr">
        <is>
          <t>MUNKEDAL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46251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45388</v>
      </c>
      <c r="E245" s="1" t="n">
        <v>46251</v>
      </c>
      <c r="F245" t="inlineStr">
        <is>
          <t>VÄSTRA GÖTALANDS LÄN</t>
        </is>
      </c>
      <c r="G245" t="inlineStr">
        <is>
          <t>MUNKEDAL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46251</v>
      </c>
      <c r="F246" t="inlineStr">
        <is>
          <t>VÄSTRA GÖTALANDS LÄN</t>
        </is>
      </c>
      <c r="G246" t="inlineStr">
        <is>
          <t>MUNKEDAL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46047</v>
      </c>
      <c r="E247" s="1" t="n">
        <v>46251</v>
      </c>
      <c r="F247" t="inlineStr">
        <is>
          <t>VÄSTRA GÖTALANDS LÄN</t>
        </is>
      </c>
      <c r="G247" t="inlineStr">
        <is>
          <t>MUNKEDAL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44747</v>
      </c>
      <c r="E248" s="1" t="n">
        <v>46251</v>
      </c>
      <c r="F248" t="inlineStr">
        <is>
          <t>VÄSTRA GÖTALANDS LÄN</t>
        </is>
      </c>
      <c r="G248" t="inlineStr">
        <is>
          <t>MUNKEDAL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43438-2021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44432</v>
      </c>
      <c r="E249" s="1" t="n">
        <v>46251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46251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46251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46251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46251</v>
      </c>
      <c r="F253" t="inlineStr">
        <is>
          <t>VÄSTRA GÖTALANDS LÄN</t>
        </is>
      </c>
      <c r="G253" t="inlineStr">
        <is>
          <t>MUNKEDAL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45321</v>
      </c>
      <c r="E254" s="1" t="n">
        <v>46251</v>
      </c>
      <c r="F254" t="inlineStr">
        <is>
          <t>VÄSTRA GÖTALANDS LÄN</t>
        </is>
      </c>
      <c r="G254" t="inlineStr">
        <is>
          <t>MUNKEDAL</t>
        </is>
      </c>
      <c r="I254" t="n">
        <v>20.2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46251</v>
      </c>
      <c r="F255" t="inlineStr">
        <is>
          <t>VÄSTRA GÖTALANDS LÄN</t>
        </is>
      </c>
      <c r="G255" t="inlineStr">
        <is>
          <t>MUNKEDAL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46251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46251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46251</v>
      </c>
      <c r="F258" t="inlineStr">
        <is>
          <t>VÄSTRA GÖTALANDS LÄN</t>
        </is>
      </c>
      <c r="G258" t="inlineStr">
        <is>
          <t>MUNKEDAL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46251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46251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46251</v>
      </c>
      <c r="F261" t="inlineStr">
        <is>
          <t>VÄSTRA GÖTALANDS LÄN</t>
        </is>
      </c>
      <c r="G261" t="inlineStr">
        <is>
          <t>MUNKEDAL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46052</v>
      </c>
      <c r="E262" s="1" t="n">
        <v>46251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46251</v>
      </c>
      <c r="F263" t="inlineStr">
        <is>
          <t>VÄSTRA GÖTALANDS LÄN</t>
        </is>
      </c>
      <c r="G263" t="inlineStr">
        <is>
          <t>MUNKEDAL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46251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46251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46251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46251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46251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46251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46251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46251</v>
      </c>
      <c r="F271" t="inlineStr">
        <is>
          <t>VÄSTRA GÖTALANDS LÄN</t>
        </is>
      </c>
      <c r="G271" t="inlineStr">
        <is>
          <t>MUNKEDAL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46251</v>
      </c>
      <c r="F272" t="inlineStr">
        <is>
          <t>VÄSTRA GÖTALANDS LÄN</t>
        </is>
      </c>
      <c r="G272" t="inlineStr">
        <is>
          <t>MUNKEDAL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46251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46251</v>
      </c>
      <c r="F274" t="inlineStr">
        <is>
          <t>VÄSTRA GÖTALANDS LÄN</t>
        </is>
      </c>
      <c r="G274" t="inlineStr">
        <is>
          <t>MUNKEDAL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46251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Naturvårdsverket</t>
        </is>
      </c>
      <c r="I275" t="n">
        <v>15.8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46251</v>
      </c>
      <c r="F276" t="inlineStr">
        <is>
          <t>VÄSTRA GÖTALANDS LÄN</t>
        </is>
      </c>
      <c r="G276" t="inlineStr">
        <is>
          <t>MUNKEDAL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46251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46251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46251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Kommuner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46251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46251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46251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46251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46251</v>
      </c>
      <c r="F284" t="inlineStr">
        <is>
          <t>VÄSTRA GÖTALANDS LÄN</t>
        </is>
      </c>
      <c r="G284" t="inlineStr">
        <is>
          <t>MUNKEDAL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46251</v>
      </c>
      <c r="F285" t="inlineStr">
        <is>
          <t>VÄSTRA GÖTALANDS LÄN</t>
        </is>
      </c>
      <c r="G285" t="inlineStr">
        <is>
          <t>MUNKEDAL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46251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46251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46251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46251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46251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46251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46251</v>
      </c>
      <c r="F292" t="inlineStr">
        <is>
          <t>VÄSTRA GÖTALANDS LÄN</t>
        </is>
      </c>
      <c r="G292" t="inlineStr">
        <is>
          <t>MUNKEDAL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46251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46251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44467</v>
      </c>
      <c r="E295" s="1" t="n">
        <v>46251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45348</v>
      </c>
      <c r="E296" s="1" t="n">
        <v>46251</v>
      </c>
      <c r="F296" t="inlineStr">
        <is>
          <t>VÄSTRA GÖTALANDS LÄN</t>
        </is>
      </c>
      <c r="G296" t="inlineStr">
        <is>
          <t>MUNKEDAL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46251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46251</v>
      </c>
      <c r="F298" t="inlineStr">
        <is>
          <t>VÄSTRA GÖTALANDS LÄN</t>
        </is>
      </c>
      <c r="G298" t="inlineStr">
        <is>
          <t>MUNKEDAL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46251</v>
      </c>
      <c r="F299" t="inlineStr">
        <is>
          <t>VÄSTRA GÖTALANDS LÄN</t>
        </is>
      </c>
      <c r="G299" t="inlineStr">
        <is>
          <t>MUNKEDAL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46251</v>
      </c>
      <c r="F300" t="inlineStr">
        <is>
          <t>VÄSTRA GÖTALANDS LÄN</t>
        </is>
      </c>
      <c r="G300" t="inlineStr">
        <is>
          <t>MUNKEDAL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46251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46251</v>
      </c>
      <c r="F302" t="inlineStr">
        <is>
          <t>VÄSTRA GÖTALANDS LÄN</t>
        </is>
      </c>
      <c r="G302" t="inlineStr">
        <is>
          <t>MUNKEDAL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45296</v>
      </c>
      <c r="E303" s="1" t="n">
        <v>46251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Kyrkan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44630</v>
      </c>
      <c r="E304" s="1" t="n">
        <v>46251</v>
      </c>
      <c r="F304" t="inlineStr">
        <is>
          <t>VÄSTRA GÖTALANDS LÄN</t>
        </is>
      </c>
      <c r="G304" t="inlineStr">
        <is>
          <t>MUNKEDAL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55183-2024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45620</v>
      </c>
      <c r="E305" s="1" t="n">
        <v>46251</v>
      </c>
      <c r="F305" t="inlineStr">
        <is>
          <t>VÄSTRA GÖTALANDS LÄN</t>
        </is>
      </c>
      <c r="G305" t="inlineStr">
        <is>
          <t>MUNKEDAL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44620-2021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44436</v>
      </c>
      <c r="E306" s="1" t="n">
        <v>46251</v>
      </c>
      <c r="F306" t="inlineStr">
        <is>
          <t>VÄSTRA GÖTALANDS LÄN</t>
        </is>
      </c>
      <c r="G306" t="inlineStr">
        <is>
          <t>MUNKEDAL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45674</v>
      </c>
      <c r="E307" s="1" t="n">
        <v>46251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45618</v>
      </c>
      <c r="E308" s="1" t="n">
        <v>46251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44920</v>
      </c>
      <c r="E309" s="1" t="n">
        <v>46251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44920</v>
      </c>
      <c r="E310" s="1" t="n">
        <v>46251</v>
      </c>
      <c r="F310" t="inlineStr">
        <is>
          <t>VÄSTRA GÖTALANDS LÄN</t>
        </is>
      </c>
      <c r="G310" t="inlineStr">
        <is>
          <t>MUNKEDAL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46251</v>
      </c>
      <c r="F311" t="inlineStr">
        <is>
          <t>VÄSTRA GÖTALANDS LÄN</t>
        </is>
      </c>
      <c r="G311" t="inlineStr">
        <is>
          <t>MUNKEDAL</t>
        </is>
      </c>
      <c r="I311" t="n">
        <v>25.2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46251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46251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46251</v>
      </c>
      <c r="F314" t="inlineStr">
        <is>
          <t>VÄSTRA GÖTALANDS LÄN</t>
        </is>
      </c>
      <c r="G314" t="inlineStr">
        <is>
          <t>MUNKEDAL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46251</v>
      </c>
      <c r="F315" t="inlineStr">
        <is>
          <t>VÄSTRA GÖTALANDS LÄN</t>
        </is>
      </c>
      <c r="G315" t="inlineStr">
        <is>
          <t>MUNKEDAL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46251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statliga verk och myndigheter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46251</v>
      </c>
      <c r="F317" t="inlineStr">
        <is>
          <t>VÄSTRA GÖTALANDS LÄN</t>
        </is>
      </c>
      <c r="G317" t="inlineStr">
        <is>
          <t>MUNKEDAL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46251</v>
      </c>
      <c r="F318" t="inlineStr">
        <is>
          <t>VÄSTRA GÖTALANDS LÄN</t>
        </is>
      </c>
      <c r="G318" t="inlineStr">
        <is>
          <t>MUNKEDAL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46251</v>
      </c>
      <c r="F319" t="inlineStr">
        <is>
          <t>VÄSTRA GÖTALANDS LÄN</t>
        </is>
      </c>
      <c r="G319" t="inlineStr">
        <is>
          <t>MUNKEDAL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46251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44698</v>
      </c>
      <c r="E321" s="1" t="n">
        <v>46251</v>
      </c>
      <c r="F321" t="inlineStr">
        <is>
          <t>VÄSTRA GÖTALANDS LÄN</t>
        </is>
      </c>
      <c r="G321" t="inlineStr">
        <is>
          <t>MUNKEDAL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46251</v>
      </c>
      <c r="F322" t="inlineStr">
        <is>
          <t>VÄSTRA GÖTALANDS LÄN</t>
        </is>
      </c>
      <c r="G322" t="inlineStr">
        <is>
          <t>MUNKEDAL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46251</v>
      </c>
      <c r="F323" t="inlineStr">
        <is>
          <t>VÄSTRA GÖTALANDS LÄN</t>
        </is>
      </c>
      <c r="G323" t="inlineStr">
        <is>
          <t>MUNKEDAL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45778</v>
      </c>
      <c r="E324" s="1" t="n">
        <v>46251</v>
      </c>
      <c r="F324" t="inlineStr">
        <is>
          <t>VÄSTRA GÖTALANDS LÄN</t>
        </is>
      </c>
      <c r="G324" t="inlineStr">
        <is>
          <t>MUNKEDAL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45778</v>
      </c>
      <c r="E325" s="1" t="n">
        <v>46251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46251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44579</v>
      </c>
      <c r="E327" s="1" t="n">
        <v>46251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Kyrkan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46251</v>
      </c>
      <c r="F328" t="inlineStr">
        <is>
          <t>VÄSTRA GÖTALANDS LÄN</t>
        </is>
      </c>
      <c r="G328" t="inlineStr">
        <is>
          <t>MUNKEDAL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45784</v>
      </c>
      <c r="E329" s="1" t="n">
        <v>46251</v>
      </c>
      <c r="F329" t="inlineStr">
        <is>
          <t>VÄSTRA GÖTALANDS LÄN</t>
        </is>
      </c>
      <c r="G329" t="inlineStr">
        <is>
          <t>MUNKEDAL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46251</v>
      </c>
      <c r="F330" t="inlineStr">
        <is>
          <t>VÄSTRA GÖTALANDS LÄN</t>
        </is>
      </c>
      <c r="G330" t="inlineStr">
        <is>
          <t>MUNKEDAL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46251</v>
      </c>
      <c r="F331" t="inlineStr">
        <is>
          <t>VÄSTRA GÖTALANDS LÄN</t>
        </is>
      </c>
      <c r="G331" t="inlineStr">
        <is>
          <t>MUNKEDAL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46251</v>
      </c>
      <c r="F332" t="inlineStr">
        <is>
          <t>VÄSTRA GÖTALANDS LÄN</t>
        </is>
      </c>
      <c r="G332" t="inlineStr">
        <is>
          <t>MUNKEDAL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56789-2021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44481</v>
      </c>
      <c r="E333" s="1" t="n">
        <v>46251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46251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46251</v>
      </c>
      <c r="F335" t="inlineStr">
        <is>
          <t>VÄSTRA GÖTALANDS LÄN</t>
        </is>
      </c>
      <c r="G335" t="inlineStr">
        <is>
          <t>MUNKEDAL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46251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46251</v>
      </c>
      <c r="F337" t="inlineStr">
        <is>
          <t>VÄSTRA GÖTALANDS LÄN</t>
        </is>
      </c>
      <c r="G337" t="inlineStr">
        <is>
          <t>MUNKEDAL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46251</v>
      </c>
      <c r="F338" t="inlineStr">
        <is>
          <t>VÄSTRA GÖTALANDS LÄN</t>
        </is>
      </c>
      <c r="G338" t="inlineStr">
        <is>
          <t>MUNKEDAL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45127</v>
      </c>
      <c r="E339" s="1" t="n">
        <v>46251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45614</v>
      </c>
      <c r="E340" s="1" t="n">
        <v>46251</v>
      </c>
      <c r="F340" t="inlineStr">
        <is>
          <t>VÄSTRA GÖTALANDS LÄN</t>
        </is>
      </c>
      <c r="G340" t="inlineStr">
        <is>
          <t>MUNKEDAL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46251</v>
      </c>
      <c r="F341" t="inlineStr">
        <is>
          <t>VÄSTRA GÖTALANDS LÄN</t>
        </is>
      </c>
      <c r="G341" t="inlineStr">
        <is>
          <t>MUNKEDAL</t>
        </is>
      </c>
      <c r="I341" t="n">
        <v>13.8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46251</v>
      </c>
      <c r="F342" t="inlineStr">
        <is>
          <t>VÄSTRA GÖTALANDS LÄN</t>
        </is>
      </c>
      <c r="G342" t="inlineStr">
        <is>
          <t>MUNKEDAL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45408</v>
      </c>
      <c r="E343" s="1" t="n">
        <v>46251</v>
      </c>
      <c r="F343" t="inlineStr">
        <is>
          <t>VÄSTRA GÖTALANDS LÄN</t>
        </is>
      </c>
      <c r="G343" t="inlineStr">
        <is>
          <t>MUNKEDAL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46251</v>
      </c>
      <c r="F344" t="inlineStr">
        <is>
          <t>VÄSTRA GÖTALANDS LÄN</t>
        </is>
      </c>
      <c r="G344" t="inlineStr">
        <is>
          <t>MUNKEDAL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46251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45714</v>
      </c>
      <c r="E346" s="1" t="n">
        <v>46251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26.5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45792</v>
      </c>
      <c r="E347" s="1" t="n">
        <v>46251</v>
      </c>
      <c r="F347" t="inlineStr">
        <is>
          <t>VÄSTRA GÖTALANDS LÄN</t>
        </is>
      </c>
      <c r="G347" t="inlineStr">
        <is>
          <t>MUNKEDAL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45696</v>
      </c>
      <c r="E348" s="1" t="n">
        <v>46251</v>
      </c>
      <c r="F348" t="inlineStr">
        <is>
          <t>VÄSTRA GÖTALANDS LÄN</t>
        </is>
      </c>
      <c r="G348" t="inlineStr">
        <is>
          <t>MUNKEDAL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46251</v>
      </c>
      <c r="F349" t="inlineStr">
        <is>
          <t>VÄSTRA GÖTALANDS LÄN</t>
        </is>
      </c>
      <c r="G349" t="inlineStr">
        <is>
          <t>MUNKEDAL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46251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46251</v>
      </c>
      <c r="F351" t="inlineStr">
        <is>
          <t>VÄSTRA GÖTALANDS LÄN</t>
        </is>
      </c>
      <c r="G351" t="inlineStr">
        <is>
          <t>MUNKEDAL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58066-2021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46251</v>
      </c>
      <c r="F352" t="inlineStr">
        <is>
          <t>VÄSTRA GÖTALANDS LÄN</t>
        </is>
      </c>
      <c r="G352" t="inlineStr">
        <is>
          <t>MUNKEDAL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46251</v>
      </c>
      <c r="F353" t="inlineStr">
        <is>
          <t>VÄSTRA GÖTALANDS LÄN</t>
        </is>
      </c>
      <c r="G353" t="inlineStr">
        <is>
          <t>MUNKEDAL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46251</v>
      </c>
      <c r="F354" t="inlineStr">
        <is>
          <t>VÄSTRA GÖTALANDS LÄN</t>
        </is>
      </c>
      <c r="G354" t="inlineStr">
        <is>
          <t>MUNKEDAL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46251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46251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46251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16.7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46251</v>
      </c>
      <c r="F358" t="inlineStr">
        <is>
          <t>VÄSTRA GÖTALANDS LÄN</t>
        </is>
      </c>
      <c r="G358" t="inlineStr">
        <is>
          <t>MUNKEDAL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46251</v>
      </c>
      <c r="F359" t="inlineStr">
        <is>
          <t>VÄSTRA GÖTALANDS LÄN</t>
        </is>
      </c>
      <c r="G359" t="inlineStr">
        <is>
          <t>MUNKEDAL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46251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45640</v>
      </c>
      <c r="E361" s="1" t="n">
        <v>46251</v>
      </c>
      <c r="F361" t="inlineStr">
        <is>
          <t>VÄSTRA GÖTALANDS LÄN</t>
        </is>
      </c>
      <c r="G361" t="inlineStr">
        <is>
          <t>MUNKEDAL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28995-2022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46251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46251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44755</v>
      </c>
      <c r="E364" s="1" t="n">
        <v>46251</v>
      </c>
      <c r="F364" t="inlineStr">
        <is>
          <t>VÄSTRA GÖTALANDS LÄN</t>
        </is>
      </c>
      <c r="G364" t="inlineStr">
        <is>
          <t>MUNKEDAL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46251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Naturvårdsverket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46251</v>
      </c>
      <c r="F366" t="inlineStr">
        <is>
          <t>VÄSTRA GÖTALANDS LÄN</t>
        </is>
      </c>
      <c r="G366" t="inlineStr">
        <is>
          <t>MUNKEDAL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46251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46251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46251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45596</v>
      </c>
      <c r="E370" s="1" t="n">
        <v>46251</v>
      </c>
      <c r="F370" t="inlineStr">
        <is>
          <t>VÄSTRA GÖTALANDS LÄN</t>
        </is>
      </c>
      <c r="G370" t="inlineStr">
        <is>
          <t>MUNKEDAL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46251</v>
      </c>
      <c r="F371" t="inlineStr">
        <is>
          <t>VÄSTRA GÖTALANDS LÄN</t>
        </is>
      </c>
      <c r="G371" t="inlineStr">
        <is>
          <t>MUNKEDAL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46251</v>
      </c>
      <c r="F372" t="inlineStr">
        <is>
          <t>VÄSTRA GÖTALANDS LÄN</t>
        </is>
      </c>
      <c r="G372" t="inlineStr">
        <is>
          <t>MUNKEDAL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46251</v>
      </c>
      <c r="F373" t="inlineStr">
        <is>
          <t>VÄSTRA GÖTALANDS LÄN</t>
        </is>
      </c>
      <c r="G373" t="inlineStr">
        <is>
          <t>MUNKEDAL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46251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19631-2022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46251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46251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45625</v>
      </c>
      <c r="E377" s="1" t="n">
        <v>46251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45557</v>
      </c>
      <c r="E378" s="1" t="n">
        <v>46251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46251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45325</v>
      </c>
      <c r="E380" s="1" t="n">
        <v>46251</v>
      </c>
      <c r="F380" t="inlineStr">
        <is>
          <t>VÄSTRA GÖTALANDS LÄN</t>
        </is>
      </c>
      <c r="G380" t="inlineStr">
        <is>
          <t>MUNKEDAL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45736</v>
      </c>
      <c r="E381" s="1" t="n">
        <v>46251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46251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46251</v>
      </c>
      <c r="F383" t="inlineStr">
        <is>
          <t>VÄSTRA GÖTALANDS LÄN</t>
        </is>
      </c>
      <c r="G383" t="inlineStr">
        <is>
          <t>MUNKEDAL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46251</v>
      </c>
      <c r="F384" t="inlineStr">
        <is>
          <t>VÄSTRA GÖTALANDS LÄN</t>
        </is>
      </c>
      <c r="G384" t="inlineStr">
        <is>
          <t>MUNKEDAL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46251</v>
      </c>
      <c r="F385" t="inlineStr">
        <is>
          <t>VÄSTRA GÖTALANDS LÄN</t>
        </is>
      </c>
      <c r="G385" t="inlineStr">
        <is>
          <t>MUNKEDAL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46251</v>
      </c>
      <c r="F386" t="inlineStr">
        <is>
          <t>VÄSTRA GÖTALANDS LÄN</t>
        </is>
      </c>
      <c r="G386" t="inlineStr">
        <is>
          <t>MUNKEDAL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49912-2023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45214</v>
      </c>
      <c r="E387" s="1" t="n">
        <v>46251</v>
      </c>
      <c r="F387" t="inlineStr">
        <is>
          <t>VÄSTRA GÖTALANDS LÄN</t>
        </is>
      </c>
      <c r="G387" t="inlineStr">
        <is>
          <t>MUNKEDAL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46251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Kyrkan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30614-2025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46251</v>
      </c>
      <c r="F389" t="inlineStr">
        <is>
          <t>VÄSTRA GÖTALANDS LÄN</t>
        </is>
      </c>
      <c r="G389" t="inlineStr">
        <is>
          <t>MUNKEDAL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46251</v>
      </c>
      <c r="F390" t="inlineStr">
        <is>
          <t>VÄSTRA GÖTALANDS LÄN</t>
        </is>
      </c>
      <c r="G390" t="inlineStr">
        <is>
          <t>MUNKEDAL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45138</v>
      </c>
      <c r="E391" s="1" t="n">
        <v>46251</v>
      </c>
      <c r="F391" t="inlineStr">
        <is>
          <t>VÄSTRA GÖTALANDS LÄN</t>
        </is>
      </c>
      <c r="G391" t="inlineStr">
        <is>
          <t>MUNKEDAL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46251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46251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18278-2025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45762</v>
      </c>
      <c r="E394" s="1" t="n">
        <v>46251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46251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46251</v>
      </c>
      <c r="F396" t="inlineStr">
        <is>
          <t>VÄSTRA GÖTALANDS LÄN</t>
        </is>
      </c>
      <c r="G396" t="inlineStr">
        <is>
          <t>MUNKEDAL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46251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46251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45847</v>
      </c>
      <c r="E399" s="1" t="n">
        <v>46251</v>
      </c>
      <c r="F399" t="inlineStr">
        <is>
          <t>VÄSTRA GÖTALANDS LÄN</t>
        </is>
      </c>
      <c r="G399" t="inlineStr">
        <is>
          <t>MUNKEDAL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46239</v>
      </c>
      <c r="E400" s="1" t="n">
        <v>46251</v>
      </c>
      <c r="F400" t="inlineStr">
        <is>
          <t>VÄSTRA GÖTALANDS LÄN</t>
        </is>
      </c>
      <c r="G400" t="inlineStr">
        <is>
          <t>MUNKEDAL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46251</v>
      </c>
      <c r="F401" t="inlineStr">
        <is>
          <t>VÄSTRA GÖTALANDS LÄN</t>
        </is>
      </c>
      <c r="G401" t="inlineStr">
        <is>
          <t>MUNKEDAL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46251</v>
      </c>
      <c r="F402" t="inlineStr">
        <is>
          <t>VÄSTRA GÖTALANDS LÄN</t>
        </is>
      </c>
      <c r="G402" t="inlineStr">
        <is>
          <t>MUNKEDAL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46251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46244</v>
      </c>
      <c r="E404" s="1" t="n">
        <v>46251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46251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46251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46251</v>
      </c>
      <c r="F407" t="inlineStr">
        <is>
          <t>VÄSTRA GÖTALANDS LÄN</t>
        </is>
      </c>
      <c r="G407" t="inlineStr">
        <is>
          <t>MUNKEDAL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46251</v>
      </c>
      <c r="F408" t="inlineStr">
        <is>
          <t>VÄSTRA GÖTALANDS LÄN</t>
        </is>
      </c>
      <c r="G408" t="inlineStr">
        <is>
          <t>MUNKEDAL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46251</v>
      </c>
      <c r="F409" t="inlineStr">
        <is>
          <t>VÄSTRA GÖTALANDS LÄN</t>
        </is>
      </c>
      <c r="G409" t="inlineStr">
        <is>
          <t>MUNKEDAL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46251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46251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46251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46251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46251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2026-08-17T01:48:52Z</dcterms:created>
  <dcterms:modified xmlns:dcterms="http://purl.org/dc/terms/" xmlns:xsi="http://www.w3.org/2001/XMLSchema-instance" xsi:type="dcterms:W3CDTF">2026-08-17T01:48:52Z</dcterms:modified>
</cp:coreProperties>
</file>