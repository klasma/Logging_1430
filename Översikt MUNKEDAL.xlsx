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46231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46231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46231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46231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46231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46231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46231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56578-2025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46231</v>
      </c>
      <c r="F10" t="inlineStr">
        <is>
          <t>VÄSTRA GÖTALANDS LÄN</t>
        </is>
      </c>
      <c r="G10" t="inlineStr">
        <is>
          <t>MUNKEDAL</t>
        </is>
      </c>
      <c r="H10" t="inlineStr">
        <is>
          <t>Övriga Aktiebolag</t>
        </is>
      </c>
      <c r="I10" t="n">
        <v>18.6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Svinrot
Fläcknycklar</t>
        </is>
      </c>
      <c r="W10">
        <f>HYPERLINK("https://klasma.github.io/Logging_1430/artfynd/A 56578-2025 artfynd.xlsx", "A 56578-2025")</f>
        <v/>
      </c>
      <c r="X10">
        <f>HYPERLINK("https://klasma.github.io/Logging_1430/kartor/A 56578-2025 karta.png", "A 56578-2025")</f>
        <v/>
      </c>
      <c r="Y10">
        <f>HYPERLINK("https://klasma.github.io/Logging_1430/kartor_geotiff/A 56578-2025 georefererad karta.tif", "A 56578-2025")</f>
        <v/>
      </c>
      <c r="AA10">
        <f>HYPERLINK("https://klasma.github.io/Logging_1430/klagomål/A 56578-2025 FSC-klagomål.docx", "A 56578-2025")</f>
        <v/>
      </c>
      <c r="AB10">
        <f>HYPERLINK("https://klasma.github.io/Logging_1430/klagomålsmail/A 56578-2025 FSC-klagomål mail.docx", "A 56578-2025")</f>
        <v/>
      </c>
      <c r="AC10">
        <f>HYPERLINK("https://klasma.github.io/Logging_1430/tillsyn/A 56578-2025 tillsynsbegäran.docx", "A 56578-2025")</f>
        <v/>
      </c>
      <c r="AD10">
        <f>HYPERLINK("https://klasma.github.io/Logging_1430/tillsynsmail/A 56578-2025 tillsynsbegäran mail.docx", "A 56578-2025")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46231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45313</v>
      </c>
      <c r="E12" s="1" t="n">
        <v>46231</v>
      </c>
      <c r="F12" t="inlineStr">
        <is>
          <t>VÄSTRA GÖTALANDS LÄN</t>
        </is>
      </c>
      <c r="G12" t="inlineStr">
        <is>
          <t>MUNKEDAL</t>
        </is>
      </c>
      <c r="I12" t="n">
        <v>4.7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Havsörn
Gullviva</t>
        </is>
      </c>
      <c r="W12">
        <f>HYPERLINK("https://klasma.github.io/Logging_1430/artfynd/A 2539-2024 artfynd.xlsx", "A 2539-2024")</f>
        <v/>
      </c>
      <c r="X12">
        <f>HYPERLINK("https://klasma.github.io/Logging_1430/kartor/A 2539-2024 karta.png", "A 2539-2024")</f>
        <v/>
      </c>
      <c r="Y12">
        <f>HYPERLINK("https://klasma.github.io/Logging_1430/kartor_geotiff/A 2539-2024 georefererad karta.tif", "A 2539-2024")</f>
        <v/>
      </c>
      <c r="AA12">
        <f>HYPERLINK("https://klasma.github.io/Logging_1430/klagomål/A 2539-2024 FSC-klagomål.docx", "A 2539-2024")</f>
        <v/>
      </c>
      <c r="AB12">
        <f>HYPERLINK("https://klasma.github.io/Logging_1430/klagomålsmail/A 2539-2024 FSC-klagomål mail.docx", "A 2539-2024")</f>
        <v/>
      </c>
      <c r="AC12">
        <f>HYPERLINK("https://klasma.github.io/Logging_1430/tillsyn/A 2539-2024 tillsynsbegäran.docx", "A 2539-2024")</f>
        <v/>
      </c>
      <c r="AD12">
        <f>HYPERLINK("https://klasma.github.io/Logging_1430/tillsynsmail/A 2539-2024 tillsynsbegäran mail.docx", "A 2539-2024")</f>
        <v/>
      </c>
      <c r="AE12">
        <f>HYPERLINK("https://klasma.github.io/Logging_1430/fåglar/A 2539-2024 prioriterade fågelarter.docx", "A 2539-2024")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46231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46231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46231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46231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46231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46231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46231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46231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46231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46231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Vanlig padda</t>
        </is>
      </c>
      <c r="W22">
        <f>HYPERLINK("https://klasma.github.io/Logging_1430/artfynd/A 16618-2022 artfynd.xlsx", "A 16618-2022")</f>
        <v/>
      </c>
      <c r="X22">
        <f>HYPERLINK("https://klasma.github.io/Logging_1430/kartor/A 16618-2022 karta.png", "A 16618-2022")</f>
        <v/>
      </c>
      <c r="Y22">
        <f>HYPERLINK("https://klasma.github.io/Logging_1430/kartor_geotiff/A 16618-2022 georefererad karta.tif", "A 16618-2022")</f>
        <v/>
      </c>
      <c r="AA22">
        <f>HYPERLINK("https://klasma.github.io/Logging_1430/klagomål/A 16618-2022 FSC-klagomål.docx", "A 16618-2022")</f>
        <v/>
      </c>
      <c r="AB22">
        <f>HYPERLINK("https://klasma.github.io/Logging_1430/klagomålsmail/A 16618-2022 FSC-klagomål mail.docx", "A 16618-2022")</f>
        <v/>
      </c>
      <c r="AC22">
        <f>HYPERLINK("https://klasma.github.io/Logging_1430/tillsyn/A 16618-2022 tillsynsbegäran.docx", "A 16618-2022")</f>
        <v/>
      </c>
      <c r="AD22">
        <f>HYPERLINK("https://klasma.github.io/Logging_1430/tillsynsmail/A 16618-2022 tillsynsbegäran mail.docx", "A 16618-2022")</f>
        <v/>
      </c>
    </row>
    <row r="23" ht="15" customHeight="1">
      <c r="A23" t="inlineStr">
        <is>
          <t>A 22963-2026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46231</v>
      </c>
      <c r="F23" t="inlineStr">
        <is>
          <t>VÄSTRA GÖTALANDS LÄN</t>
        </is>
      </c>
      <c r="G23" t="inlineStr">
        <is>
          <t>MUNKEDAL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22963-2026 artfynd.xlsx", "A 22963-2026")</f>
        <v/>
      </c>
      <c r="X23">
        <f>HYPERLINK("https://klasma.github.io/Logging_1430/kartor/A 22963-2026 karta.png", "A 22963-2026")</f>
        <v/>
      </c>
      <c r="Y23">
        <f>HYPERLINK("https://klasma.github.io/Logging_1430/kartor_geotiff/A 22963-2026 georefererad karta.tif", "A 22963-2026")</f>
        <v/>
      </c>
      <c r="AA23">
        <f>HYPERLINK("https://klasma.github.io/Logging_1430/klagomål/A 22963-2026 FSC-klagomål.docx", "A 22963-2026")</f>
        <v/>
      </c>
      <c r="AB23">
        <f>HYPERLINK("https://klasma.github.io/Logging_1430/klagomålsmail/A 22963-2026 FSC-klagomål mail.docx", "A 22963-2026")</f>
        <v/>
      </c>
      <c r="AC23">
        <f>HYPERLINK("https://klasma.github.io/Logging_1430/tillsyn/A 22963-2026 tillsynsbegäran.docx", "A 22963-2026")</f>
        <v/>
      </c>
      <c r="AD23">
        <f>HYPERLINK("https://klasma.github.io/Logging_1430/tillsynsmail/A 22963-2026 tillsynsbegäran mail.docx", "A 22963-2026")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46231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46231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46231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45160-2024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46231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Naturvårdsverket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HYPERLINK("https://klasma.github.io/Logging_1430/artfynd/A 45160-2024 artfynd.xlsx", "A 45160-2024")</f>
        <v/>
      </c>
      <c r="X27">
        <f>HYPERLINK("https://klasma.github.io/Logging_1430/kartor/A 45160-2024 karta.png", "A 45160-2024")</f>
        <v/>
      </c>
      <c r="Y27">
        <f>HYPERLINK("https://klasma.github.io/Logging_1430/kartor_geotiff/A 45160-2024 georefererad karta.tif", "A 45160-2024")</f>
        <v/>
      </c>
      <c r="AA27">
        <f>HYPERLINK("https://klasma.github.io/Logging_1430/klagomål/A 45160-2024 FSC-klagomål.docx", "A 45160-2024")</f>
        <v/>
      </c>
      <c r="AB27">
        <f>HYPERLINK("https://klasma.github.io/Logging_1430/klagomålsmail/A 45160-2024 FSC-klagomål mail.docx", "A 45160-2024")</f>
        <v/>
      </c>
      <c r="AC27">
        <f>HYPERLINK("https://klasma.github.io/Logging_1430/tillsyn/A 45160-2024 tillsynsbegäran.docx", "A 45160-2024")</f>
        <v/>
      </c>
      <c r="AD27">
        <f>HYPERLINK("https://klasma.github.io/Logging_1430/tillsynsmail/A 45160-2024 tillsynsbegäran mail.docx", "A 45160-2024")</f>
        <v/>
      </c>
      <c r="AE27">
        <f>HYPERLINK("https://klasma.github.io/Logging_1430/fåglar/A 45160-2024 prioriterade fågelarter.docx", "A 45160-2024")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46231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46231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19.8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HYPERLINK("https://klasma.github.io/Logging_1430/artfynd/A 1647-2025 artfynd.xlsx", "A 1647-2025")</f>
        <v/>
      </c>
      <c r="X29">
        <f>HYPERLINK("https://klasma.github.io/Logging_1430/kartor/A 1647-2025 karta.png", "A 1647-2025")</f>
        <v/>
      </c>
      <c r="Y29">
        <f>HYPERLINK("https://klasma.github.io/Logging_1430/kartor_geotiff/A 1647-2025 georefererad karta.tif", "A 1647-2025")</f>
        <v/>
      </c>
      <c r="AA29">
        <f>HYPERLINK("https://klasma.github.io/Logging_1430/klagomål/A 1647-2025 FSC-klagomål.docx", "A 1647-2025")</f>
        <v/>
      </c>
      <c r="AB29">
        <f>HYPERLINK("https://klasma.github.io/Logging_1430/klagomålsmail/A 1647-2025 FSC-klagomål mail.docx", "A 1647-2025")</f>
        <v/>
      </c>
      <c r="AC29">
        <f>HYPERLINK("https://klasma.github.io/Logging_1430/tillsyn/A 1647-2025 tillsynsbegäran.docx", "A 1647-2025")</f>
        <v/>
      </c>
      <c r="AD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46231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Jaktfalk</t>
        </is>
      </c>
      <c r="W30">
        <f>HYPERLINK("https://klasma.github.io/Logging_1430/artfynd/A 36912-2023 artfynd.xlsx", "A 36912-2023")</f>
        <v/>
      </c>
      <c r="X30">
        <f>HYPERLINK("https://klasma.github.io/Logging_1430/kartor/A 36912-2023 karta.png", "A 36912-2023")</f>
        <v/>
      </c>
      <c r="Y30">
        <f>HYPERLINK("https://klasma.github.io/Logging_1430/kartor_geotiff/A 36912-2023 georefererad karta.tif", "A 36912-2023")</f>
        <v/>
      </c>
      <c r="AA30">
        <f>HYPERLINK("https://klasma.github.io/Logging_1430/klagomål/A 36912-2023 FSC-klagomål.docx", "A 36912-2023")</f>
        <v/>
      </c>
      <c r="AB30">
        <f>HYPERLINK("https://klasma.github.io/Logging_1430/klagomålsmail/A 36912-2023 FSC-klagomål mail.docx", "A 36912-2023")</f>
        <v/>
      </c>
      <c r="AC30">
        <f>HYPERLINK("https://klasma.github.io/Logging_1430/tillsyn/A 36912-2023 tillsynsbegäran.docx", "A 36912-2023")</f>
        <v/>
      </c>
      <c r="AD30">
        <f>HYPERLINK("https://klasma.github.io/Logging_1430/tillsynsmail/A 36912-2023 tillsynsbegäran mail.docx", "A 36912-2023")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46231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46231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46231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46231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46231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46231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46231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46231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46231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46231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46231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46231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46231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46231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46231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46231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46231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46231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46231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46231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46231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46231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46231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46231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46231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46231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46231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46231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46231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46231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46231</v>
      </c>
      <c r="F61" t="inlineStr">
        <is>
          <t>VÄSTRA GÖTALANDS LÄN</t>
        </is>
      </c>
      <c r="G61" t="inlineStr">
        <is>
          <t>MUNKEDAL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46231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46231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46231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46231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46231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46231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58617-2023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45251</v>
      </c>
      <c r="E68" s="1" t="n">
        <v>46231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46231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46231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46231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46231</v>
      </c>
      <c r="F72" t="inlineStr">
        <is>
          <t>VÄSTRA GÖTALANDS LÄN</t>
        </is>
      </c>
      <c r="G72" t="inlineStr">
        <is>
          <t>MUNKEDAL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46231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46231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46231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46231</v>
      </c>
      <c r="F76" t="inlineStr">
        <is>
          <t>VÄSTRA GÖTALANDS LÄN</t>
        </is>
      </c>
      <c r="G76" t="inlineStr">
        <is>
          <t>MUNKEDAL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46231</v>
      </c>
      <c r="F77" t="inlineStr">
        <is>
          <t>VÄSTRA GÖTALANDS LÄN</t>
        </is>
      </c>
      <c r="G77" t="inlineStr">
        <is>
          <t>MUNKEDAL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46231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46231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Naturvårdsverket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45154</v>
      </c>
      <c r="E80" s="1" t="n">
        <v>46231</v>
      </c>
      <c r="F80" t="inlineStr">
        <is>
          <t>VÄSTRA GÖTALANDS LÄN</t>
        </is>
      </c>
      <c r="G80" t="inlineStr">
        <is>
          <t>MUNKEDAL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23871-2024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46231</v>
      </c>
      <c r="F81" t="inlineStr">
        <is>
          <t>VÄSTRA GÖTALANDS LÄN</t>
        </is>
      </c>
      <c r="G81" t="inlineStr">
        <is>
          <t>MUNKEDAL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44873</v>
      </c>
      <c r="E82" s="1" t="n">
        <v>46231</v>
      </c>
      <c r="F82" t="inlineStr">
        <is>
          <t>VÄSTRA GÖTALANDS LÄN</t>
        </is>
      </c>
      <c r="G82" t="inlineStr">
        <is>
          <t>MUNKEDAL</t>
        </is>
      </c>
      <c r="I82" t="n">
        <v>9.300000000000001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46231</v>
      </c>
      <c r="F83" t="inlineStr">
        <is>
          <t>VÄSTRA GÖTALANDS LÄN</t>
        </is>
      </c>
      <c r="G83" t="inlineStr">
        <is>
          <t>MUNKEDAL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45488</v>
      </c>
      <c r="E84" s="1" t="n">
        <v>46231</v>
      </c>
      <c r="F84" t="inlineStr">
        <is>
          <t>VÄSTRA GÖTALANDS LÄN</t>
        </is>
      </c>
      <c r="G84" t="inlineStr">
        <is>
          <t>MUNKEDAL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46231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46231</v>
      </c>
      <c r="F86" t="inlineStr">
        <is>
          <t>VÄSTRA GÖTALANDS LÄN</t>
        </is>
      </c>
      <c r="G86" t="inlineStr">
        <is>
          <t>MUNKEDAL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46231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46231</v>
      </c>
      <c r="F88" t="inlineStr">
        <is>
          <t>VÄSTRA GÖTALANDS LÄN</t>
        </is>
      </c>
      <c r="G88" t="inlineStr">
        <is>
          <t>MUNKEDAL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58251-2024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45631</v>
      </c>
      <c r="E89" s="1" t="n">
        <v>46231</v>
      </c>
      <c r="F89" t="inlineStr">
        <is>
          <t>VÄSTRA GÖTALANDS LÄN</t>
        </is>
      </c>
      <c r="G89" t="inlineStr">
        <is>
          <t>MUNKEDAL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46231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19631-2022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44694</v>
      </c>
      <c r="E91" s="1" t="n">
        <v>46231</v>
      </c>
      <c r="F91" t="inlineStr">
        <is>
          <t>VÄSTRA GÖTALANDS LÄN</t>
        </is>
      </c>
      <c r="G91" t="inlineStr">
        <is>
          <t>MUNKEDAL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46231</v>
      </c>
      <c r="F92" t="inlineStr">
        <is>
          <t>VÄSTRA GÖTALANDS LÄN</t>
        </is>
      </c>
      <c r="G92" t="inlineStr">
        <is>
          <t>MUNKEDAL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46231</v>
      </c>
      <c r="F93" t="inlineStr">
        <is>
          <t>VÄSTRA GÖTALANDS LÄN</t>
        </is>
      </c>
      <c r="G93" t="inlineStr">
        <is>
          <t>MUNKEDAL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24073-2024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45456</v>
      </c>
      <c r="E94" s="1" t="n">
        <v>46231</v>
      </c>
      <c r="F94" t="inlineStr">
        <is>
          <t>VÄSTRA GÖTALANDS LÄN</t>
        </is>
      </c>
      <c r="G94" t="inlineStr">
        <is>
          <t>MUNKEDAL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46035</v>
      </c>
      <c r="E95" s="1" t="n">
        <v>46231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46231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Kyrkan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46231</v>
      </c>
      <c r="F97" t="inlineStr">
        <is>
          <t>VÄSTRA GÖTALANDS LÄN</t>
        </is>
      </c>
      <c r="G97" t="inlineStr">
        <is>
          <t>MUNKEDAL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46231</v>
      </c>
      <c r="F98" t="inlineStr">
        <is>
          <t>VÄSTRA GÖTALANDS LÄN</t>
        </is>
      </c>
      <c r="G98" t="inlineStr">
        <is>
          <t>MUNKEDAL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45557</v>
      </c>
      <c r="E99" s="1" t="n">
        <v>46231</v>
      </c>
      <c r="F99" t="inlineStr">
        <is>
          <t>VÄSTRA GÖTALANDS LÄN</t>
        </is>
      </c>
      <c r="G99" t="inlineStr">
        <is>
          <t>MUNKEDAL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46231</v>
      </c>
      <c r="F100" t="inlineStr">
        <is>
          <t>VÄSTRA GÖTALANDS LÄN</t>
        </is>
      </c>
      <c r="G100" t="inlineStr">
        <is>
          <t>MUNKEDAL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45148</v>
      </c>
      <c r="E101" s="1" t="n">
        <v>46231</v>
      </c>
      <c r="F101" t="inlineStr">
        <is>
          <t>VÄSTRA GÖTALANDS LÄN</t>
        </is>
      </c>
      <c r="G101" t="inlineStr">
        <is>
          <t>MUNKEDAL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46231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46231</v>
      </c>
      <c r="F103" t="inlineStr">
        <is>
          <t>VÄSTRA GÖTALANDS LÄN</t>
        </is>
      </c>
      <c r="G103" t="inlineStr">
        <is>
          <t>MUNKEDAL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46047</v>
      </c>
      <c r="E104" s="1" t="n">
        <v>46231</v>
      </c>
      <c r="F104" t="inlineStr">
        <is>
          <t>VÄSTRA GÖTALANDS LÄN</t>
        </is>
      </c>
      <c r="G104" t="inlineStr">
        <is>
          <t>MUNKEDAL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46231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46050</v>
      </c>
      <c r="E106" s="1" t="n">
        <v>46231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46231</v>
      </c>
      <c r="F107" t="inlineStr">
        <is>
          <t>VÄSTRA GÖTALANDS LÄN</t>
        </is>
      </c>
      <c r="G107" t="inlineStr">
        <is>
          <t>MUNKEDAL</t>
        </is>
      </c>
      <c r="H107" t="inlineStr">
        <is>
          <t>Övriga Aktiebolag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46231</v>
      </c>
      <c r="F108" t="inlineStr">
        <is>
          <t>VÄSTRA GÖTALANDS LÄN</t>
        </is>
      </c>
      <c r="G108" t="inlineStr">
        <is>
          <t>MUNKEDAL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46231</v>
      </c>
      <c r="F109" t="inlineStr">
        <is>
          <t>VÄSTRA GÖTALANDS LÄN</t>
        </is>
      </c>
      <c r="G109" t="inlineStr">
        <is>
          <t>MUNKEDAL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44960</v>
      </c>
      <c r="E110" s="1" t="n">
        <v>46231</v>
      </c>
      <c r="F110" t="inlineStr">
        <is>
          <t>VÄSTRA GÖTALANDS LÄN</t>
        </is>
      </c>
      <c r="G110" t="inlineStr">
        <is>
          <t>MUNKEDAL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46231</v>
      </c>
      <c r="F111" t="inlineStr">
        <is>
          <t>VÄSTRA GÖTALANDS LÄN</t>
        </is>
      </c>
      <c r="G111" t="inlineStr">
        <is>
          <t>MUNKEDAL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46055</v>
      </c>
      <c r="E112" s="1" t="n">
        <v>46231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45618</v>
      </c>
      <c r="E113" s="1" t="n">
        <v>46231</v>
      </c>
      <c r="F113" t="inlineStr">
        <is>
          <t>VÄSTRA GÖTALANDS LÄN</t>
        </is>
      </c>
      <c r="G113" t="inlineStr">
        <is>
          <t>MUNKEDAL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46231</v>
      </c>
      <c r="F114" t="inlineStr">
        <is>
          <t>VÄSTRA GÖTALANDS LÄN</t>
        </is>
      </c>
      <c r="G114" t="inlineStr">
        <is>
          <t>MUNKEDAL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46231</v>
      </c>
      <c r="F115" t="inlineStr">
        <is>
          <t>VÄSTRA GÖTALANDS LÄN</t>
        </is>
      </c>
      <c r="G115" t="inlineStr">
        <is>
          <t>MUNKEDAL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45522</v>
      </c>
      <c r="E116" s="1" t="n">
        <v>46231</v>
      </c>
      <c r="F116" t="inlineStr">
        <is>
          <t>VÄSTRA GÖTALANDS LÄN</t>
        </is>
      </c>
      <c r="G116" t="inlineStr">
        <is>
          <t>MUNKEDAL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46231</v>
      </c>
      <c r="F117" t="inlineStr">
        <is>
          <t>VÄSTRA GÖTALANDS LÄN</t>
        </is>
      </c>
      <c r="G117" t="inlineStr">
        <is>
          <t>MUNKEDAL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44897</v>
      </c>
      <c r="E118" s="1" t="n">
        <v>46231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Kyrkan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46231</v>
      </c>
      <c r="F119" t="inlineStr">
        <is>
          <t>VÄSTRA GÖTALANDS LÄN</t>
        </is>
      </c>
      <c r="G119" t="inlineStr">
        <is>
          <t>MUNKEDAL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46231</v>
      </c>
      <c r="F120" t="inlineStr">
        <is>
          <t>VÄSTRA GÖTALANDS LÄN</t>
        </is>
      </c>
      <c r="G120" t="inlineStr">
        <is>
          <t>MUNKEDAL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46231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46063</v>
      </c>
      <c r="E122" s="1" t="n">
        <v>46231</v>
      </c>
      <c r="F122" t="inlineStr">
        <is>
          <t>VÄSTRA GÖTALANDS LÄN</t>
        </is>
      </c>
      <c r="G122" t="inlineStr">
        <is>
          <t>MUNKEDAL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46231</v>
      </c>
      <c r="F123" t="inlineStr">
        <is>
          <t>VÄSTRA GÖTALANDS LÄN</t>
        </is>
      </c>
      <c r="G123" t="inlineStr">
        <is>
          <t>MUNKEDAL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46231</v>
      </c>
      <c r="F124" t="inlineStr">
        <is>
          <t>VÄSTRA GÖTALANDS LÄN</t>
        </is>
      </c>
      <c r="G124" t="inlineStr">
        <is>
          <t>MUNKEDAL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46231</v>
      </c>
      <c r="F125" t="inlineStr">
        <is>
          <t>VÄSTRA GÖTALANDS LÄN</t>
        </is>
      </c>
      <c r="G125" t="inlineStr">
        <is>
          <t>MUNKEDAL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46231</v>
      </c>
      <c r="F126" t="inlineStr">
        <is>
          <t>VÄSTRA GÖTALANDS LÄN</t>
        </is>
      </c>
      <c r="G126" t="inlineStr">
        <is>
          <t>MUNKEDAL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46073</v>
      </c>
      <c r="E127" s="1" t="n">
        <v>46231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46231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46231</v>
      </c>
      <c r="F129" t="inlineStr">
        <is>
          <t>VÄSTRA GÖTALANDS LÄN</t>
        </is>
      </c>
      <c r="G129" t="inlineStr">
        <is>
          <t>MUNKEDAL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46231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46231</v>
      </c>
      <c r="F131" t="inlineStr">
        <is>
          <t>VÄSTRA GÖTALANDS LÄN</t>
        </is>
      </c>
      <c r="G131" t="inlineStr">
        <is>
          <t>MUNKEDAL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46231</v>
      </c>
      <c r="F132" t="inlineStr">
        <is>
          <t>VÄSTRA GÖTALANDS LÄN</t>
        </is>
      </c>
      <c r="G132" t="inlineStr">
        <is>
          <t>MUNKEDAL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46231</v>
      </c>
      <c r="F133" t="inlineStr">
        <is>
          <t>VÄSTRA GÖTALANDS LÄN</t>
        </is>
      </c>
      <c r="G133" t="inlineStr">
        <is>
          <t>MUNKEDAL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46231</v>
      </c>
      <c r="F134" t="inlineStr">
        <is>
          <t>VÄSTRA GÖTALANDS LÄN</t>
        </is>
      </c>
      <c r="G134" t="inlineStr">
        <is>
          <t>MUNKEDAL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46231</v>
      </c>
      <c r="F135" t="inlineStr">
        <is>
          <t>VÄSTRA GÖTALANDS LÄN</t>
        </is>
      </c>
      <c r="G135" t="inlineStr">
        <is>
          <t>MUNKEDAL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46231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16968-2025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45755</v>
      </c>
      <c r="E137" s="1" t="n">
        <v>46231</v>
      </c>
      <c r="F137" t="inlineStr">
        <is>
          <t>VÄSTRA GÖTALANDS LÄN</t>
        </is>
      </c>
      <c r="G137" t="inlineStr">
        <is>
          <t>MUNKEDAL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45233</v>
      </c>
      <c r="E138" s="1" t="n">
        <v>46231</v>
      </c>
      <c r="F138" t="inlineStr">
        <is>
          <t>VÄSTRA GÖTALANDS LÄN</t>
        </is>
      </c>
      <c r="G138" t="inlineStr">
        <is>
          <t>MUNKEDAL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46231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Övriga Aktiebolag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46231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Kyrkan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45351</v>
      </c>
      <c r="E141" s="1" t="n">
        <v>46231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46091</v>
      </c>
      <c r="E142" s="1" t="n">
        <v>46231</v>
      </c>
      <c r="F142" t="inlineStr">
        <is>
          <t>VÄSTRA GÖTALANDS LÄN</t>
        </is>
      </c>
      <c r="G142" t="inlineStr">
        <is>
          <t>MUNKEDAL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45484</v>
      </c>
      <c r="E143" s="1" t="n">
        <v>46231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45709</v>
      </c>
      <c r="E144" s="1" t="n">
        <v>46231</v>
      </c>
      <c r="F144" t="inlineStr">
        <is>
          <t>VÄSTRA GÖTALANDS LÄN</t>
        </is>
      </c>
      <c r="G144" t="inlineStr">
        <is>
          <t>MUNKEDAL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45881</v>
      </c>
      <c r="E145" s="1" t="n">
        <v>46231</v>
      </c>
      <c r="F145" t="inlineStr">
        <is>
          <t>VÄSTRA GÖTALANDS LÄN</t>
        </is>
      </c>
      <c r="G145" t="inlineStr">
        <is>
          <t>MUNKEDAL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46231</v>
      </c>
      <c r="F146" t="inlineStr">
        <is>
          <t>VÄSTRA GÖTALANDS LÄN</t>
        </is>
      </c>
      <c r="G146" t="inlineStr">
        <is>
          <t>MUNKEDAL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46231</v>
      </c>
      <c r="F147" t="inlineStr">
        <is>
          <t>VÄSTRA GÖTALANDS LÄN</t>
        </is>
      </c>
      <c r="G147" t="inlineStr">
        <is>
          <t>MUNKEDAL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46231</v>
      </c>
      <c r="F148" t="inlineStr">
        <is>
          <t>VÄSTRA GÖTALANDS LÄN</t>
        </is>
      </c>
      <c r="G148" t="inlineStr">
        <is>
          <t>MUNKEDAL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46101</v>
      </c>
      <c r="E149" s="1" t="n">
        <v>46231</v>
      </c>
      <c r="F149" t="inlineStr">
        <is>
          <t>VÄSTRA GÖTALANDS LÄN</t>
        </is>
      </c>
      <c r="G149" t="inlineStr">
        <is>
          <t>MUNKEDAL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45618</v>
      </c>
      <c r="E150" s="1" t="n">
        <v>46231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46101</v>
      </c>
      <c r="E151" s="1" t="n">
        <v>46231</v>
      </c>
      <c r="F151" t="inlineStr">
        <is>
          <t>VÄSTRA GÖTALANDS LÄN</t>
        </is>
      </c>
      <c r="G151" t="inlineStr">
        <is>
          <t>MUNKEDAL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45897</v>
      </c>
      <c r="E152" s="1" t="n">
        <v>46231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46231</v>
      </c>
      <c r="F153" t="inlineStr">
        <is>
          <t>VÄSTRA GÖTALANDS LÄN</t>
        </is>
      </c>
      <c r="G153" t="inlineStr">
        <is>
          <t>MUNKEDAL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44929</v>
      </c>
      <c r="E154" s="1" t="n">
        <v>46231</v>
      </c>
      <c r="F154" t="inlineStr">
        <is>
          <t>VÄSTRA GÖTALANDS LÄN</t>
        </is>
      </c>
      <c r="G154" t="inlineStr">
        <is>
          <t>MUNKEDAL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45640</v>
      </c>
      <c r="E155" s="1" t="n">
        <v>46231</v>
      </c>
      <c r="F155" t="inlineStr">
        <is>
          <t>VÄSTRA GÖTALANDS LÄN</t>
        </is>
      </c>
      <c r="G155" t="inlineStr">
        <is>
          <t>MUNKEDAL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46231</v>
      </c>
      <c r="F156" t="inlineStr">
        <is>
          <t>VÄSTRA GÖTALANDS LÄN</t>
        </is>
      </c>
      <c r="G156" t="inlineStr">
        <is>
          <t>MUNKEDAL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46231</v>
      </c>
      <c r="F157" t="inlineStr">
        <is>
          <t>VÄSTRA GÖTALANDS LÄN</t>
        </is>
      </c>
      <c r="G157" t="inlineStr">
        <is>
          <t>MUNKEDAL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46231</v>
      </c>
      <c r="F158" t="inlineStr">
        <is>
          <t>VÄSTRA GÖTALANDS LÄN</t>
        </is>
      </c>
      <c r="G158" t="inlineStr">
        <is>
          <t>MUNKEDAL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46231</v>
      </c>
      <c r="F159" t="inlineStr">
        <is>
          <t>VÄSTRA GÖTALANDS LÄN</t>
        </is>
      </c>
      <c r="G159" t="inlineStr">
        <is>
          <t>MUNKEDAL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46231</v>
      </c>
      <c r="F160" t="inlineStr">
        <is>
          <t>VÄSTRA GÖTALANDS LÄN</t>
        </is>
      </c>
      <c r="G160" t="inlineStr">
        <is>
          <t>MUNKEDAL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46231</v>
      </c>
      <c r="F161" t="inlineStr">
        <is>
          <t>VÄSTRA GÖTALANDS LÄN</t>
        </is>
      </c>
      <c r="G161" t="inlineStr">
        <is>
          <t>MUNKEDAL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46231</v>
      </c>
      <c r="F162" t="inlineStr">
        <is>
          <t>VÄSTRA GÖTALANDS LÄN</t>
        </is>
      </c>
      <c r="G162" t="inlineStr">
        <is>
          <t>MUNKEDAL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46231</v>
      </c>
      <c r="F163" t="inlineStr">
        <is>
          <t>VÄSTRA GÖTALANDS LÄN</t>
        </is>
      </c>
      <c r="G163" t="inlineStr">
        <is>
          <t>MUNKEDAL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46231</v>
      </c>
      <c r="F164" t="inlineStr">
        <is>
          <t>VÄSTRA GÖTALANDS LÄN</t>
        </is>
      </c>
      <c r="G164" t="inlineStr">
        <is>
          <t>MUNKEDAL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46231</v>
      </c>
      <c r="F165" t="inlineStr">
        <is>
          <t>VÄSTRA GÖTALANDS LÄN</t>
        </is>
      </c>
      <c r="G165" t="inlineStr">
        <is>
          <t>MUNKEDAL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46231</v>
      </c>
      <c r="F166" t="inlineStr">
        <is>
          <t>VÄSTRA GÖTALANDS LÄN</t>
        </is>
      </c>
      <c r="G166" t="inlineStr">
        <is>
          <t>MUNKEDAL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46231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Kommuner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46231</v>
      </c>
      <c r="F168" t="inlineStr">
        <is>
          <t>VÄSTRA GÖTALANDS LÄN</t>
        </is>
      </c>
      <c r="G168" t="inlineStr">
        <is>
          <t>MUNKEDAL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45640</v>
      </c>
      <c r="E169" s="1" t="n">
        <v>46231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46231</v>
      </c>
      <c r="F170" t="inlineStr">
        <is>
          <t>VÄSTRA GÖTALANDS LÄN</t>
        </is>
      </c>
      <c r="G170" t="inlineStr">
        <is>
          <t>MUNKEDAL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44608</v>
      </c>
      <c r="E171" s="1" t="n">
        <v>46231</v>
      </c>
      <c r="F171" t="inlineStr">
        <is>
          <t>VÄSTRA GÖTALANDS LÄN</t>
        </is>
      </c>
      <c r="G171" t="inlineStr">
        <is>
          <t>MUNKEDAL</t>
        </is>
      </c>
      <c r="I171" t="n">
        <v>15.4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46231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18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46231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46231</v>
      </c>
      <c r="F174" t="inlineStr">
        <is>
          <t>VÄSTRA GÖTALANDS LÄN</t>
        </is>
      </c>
      <c r="G174" t="inlineStr">
        <is>
          <t>MUNKEDAL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46231</v>
      </c>
      <c r="F175" t="inlineStr">
        <is>
          <t>VÄSTRA GÖTALANDS LÄN</t>
        </is>
      </c>
      <c r="G175" t="inlineStr">
        <is>
          <t>MUNKEDAL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45908</v>
      </c>
      <c r="E176" s="1" t="n">
        <v>46231</v>
      </c>
      <c r="F176" t="inlineStr">
        <is>
          <t>VÄSTRA GÖTALANDS LÄN</t>
        </is>
      </c>
      <c r="G176" t="inlineStr">
        <is>
          <t>MUNKEDAL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44748</v>
      </c>
      <c r="E177" s="1" t="n">
        <v>46231</v>
      </c>
      <c r="F177" t="inlineStr">
        <is>
          <t>VÄSTRA GÖTALANDS LÄN</t>
        </is>
      </c>
      <c r="G177" t="inlineStr">
        <is>
          <t>MUNKEDAL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45908</v>
      </c>
      <c r="E178" s="1" t="n">
        <v>46231</v>
      </c>
      <c r="F178" t="inlineStr">
        <is>
          <t>VÄSTRA GÖTALANDS LÄN</t>
        </is>
      </c>
      <c r="G178" t="inlineStr">
        <is>
          <t>MUNKEDAL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44760</v>
      </c>
      <c r="E179" s="1" t="n">
        <v>46231</v>
      </c>
      <c r="F179" t="inlineStr">
        <is>
          <t>VÄSTRA GÖTALANDS LÄN</t>
        </is>
      </c>
      <c r="G179" t="inlineStr">
        <is>
          <t>MUNKEDAL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45127</v>
      </c>
      <c r="E180" s="1" t="n">
        <v>46231</v>
      </c>
      <c r="F180" t="inlineStr">
        <is>
          <t>VÄSTRA GÖTALANDS LÄN</t>
        </is>
      </c>
      <c r="G180" t="inlineStr">
        <is>
          <t>MUNKEDAL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46231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46231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46131</v>
      </c>
      <c r="E183" s="1" t="n">
        <v>46231</v>
      </c>
      <c r="F183" t="inlineStr">
        <is>
          <t>VÄSTRA GÖTALANDS LÄN</t>
        </is>
      </c>
      <c r="G183" t="inlineStr">
        <is>
          <t>MUNKEDAL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13303-2023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45005</v>
      </c>
      <c r="E184" s="1" t="n">
        <v>46231</v>
      </c>
      <c r="F184" t="inlineStr">
        <is>
          <t>VÄSTRA GÖTALANDS LÄN</t>
        </is>
      </c>
      <c r="G184" t="inlineStr">
        <is>
          <t>MUNKEDAL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46231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46231</v>
      </c>
      <c r="F186" t="inlineStr">
        <is>
          <t>VÄSTRA GÖTALANDS LÄN</t>
        </is>
      </c>
      <c r="G186" t="inlineStr">
        <is>
          <t>MUNKEDAL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46134</v>
      </c>
      <c r="E187" s="1" t="n">
        <v>46231</v>
      </c>
      <c r="F187" t="inlineStr">
        <is>
          <t>VÄSTRA GÖTALANDS LÄN</t>
        </is>
      </c>
      <c r="G187" t="inlineStr">
        <is>
          <t>MUNKEDAL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46231</v>
      </c>
      <c r="F188" t="inlineStr">
        <is>
          <t>VÄSTRA GÖTALANDS LÄN</t>
        </is>
      </c>
      <c r="G188" t="inlineStr">
        <is>
          <t>MUNKEDAL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45488</v>
      </c>
      <c r="E189" s="1" t="n">
        <v>46231</v>
      </c>
      <c r="F189" t="inlineStr">
        <is>
          <t>VÄSTRA GÖTALANDS LÄN</t>
        </is>
      </c>
      <c r="G189" t="inlineStr">
        <is>
          <t>MUNKEDAL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45912</v>
      </c>
      <c r="E190" s="1" t="n">
        <v>46231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45489</v>
      </c>
      <c r="E191" s="1" t="n">
        <v>46231</v>
      </c>
      <c r="F191" t="inlineStr">
        <is>
          <t>VÄSTRA GÖTALANDS LÄN</t>
        </is>
      </c>
      <c r="G191" t="inlineStr">
        <is>
          <t>MUNKEDAL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46126</v>
      </c>
      <c r="E192" s="1" t="n">
        <v>46231</v>
      </c>
      <c r="F192" t="inlineStr">
        <is>
          <t>VÄSTRA GÖTALANDS LÄN</t>
        </is>
      </c>
      <c r="G192" t="inlineStr">
        <is>
          <t>MUNKEDAL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44453-2025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45916</v>
      </c>
      <c r="E193" s="1" t="n">
        <v>46231</v>
      </c>
      <c r="F193" t="inlineStr">
        <is>
          <t>VÄSTRA GÖTALANDS LÄN</t>
        </is>
      </c>
      <c r="G193" t="inlineStr">
        <is>
          <t>MUNKEDAL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46231</v>
      </c>
      <c r="F194" t="inlineStr">
        <is>
          <t>VÄSTRA GÖTALANDS LÄN</t>
        </is>
      </c>
      <c r="G194" t="inlineStr">
        <is>
          <t>MUNKEDAL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46231</v>
      </c>
      <c r="F195" t="inlineStr">
        <is>
          <t>VÄSTRA GÖTALANDS LÄN</t>
        </is>
      </c>
      <c r="G195" t="inlineStr">
        <is>
          <t>MUNKEDAL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43438-2021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44432</v>
      </c>
      <c r="E196" s="1" t="n">
        <v>46231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46231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43547-2021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46231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46231</v>
      </c>
      <c r="F199" t="inlineStr">
        <is>
          <t>VÄSTRA GÖTALANDS LÄN</t>
        </is>
      </c>
      <c r="G199" t="inlineStr">
        <is>
          <t>MUNKEDAL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45921</v>
      </c>
      <c r="E200" s="1" t="n">
        <v>46231</v>
      </c>
      <c r="F200" t="inlineStr">
        <is>
          <t>VÄSTRA GÖTALANDS LÄN</t>
        </is>
      </c>
      <c r="G200" t="inlineStr">
        <is>
          <t>MUNKEDAL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46231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46231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Kommuner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46231</v>
      </c>
      <c r="F203" t="inlineStr">
        <is>
          <t>VÄSTRA GÖTALANDS LÄN</t>
        </is>
      </c>
      <c r="G203" t="inlineStr">
        <is>
          <t>MUNKEDAL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46231</v>
      </c>
      <c r="F204" t="inlineStr">
        <is>
          <t>VÄSTRA GÖTALANDS LÄN</t>
        </is>
      </c>
      <c r="G204" t="inlineStr">
        <is>
          <t>MUNKEDAL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45055</v>
      </c>
      <c r="E205" s="1" t="n">
        <v>46231</v>
      </c>
      <c r="F205" t="inlineStr">
        <is>
          <t>VÄSTRA GÖTALANDS LÄN</t>
        </is>
      </c>
      <c r="G205" t="inlineStr">
        <is>
          <t>MUNKEDAL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45267</v>
      </c>
      <c r="E206" s="1" t="n">
        <v>46231</v>
      </c>
      <c r="F206" t="inlineStr">
        <is>
          <t>VÄSTRA GÖTALANDS LÄN</t>
        </is>
      </c>
      <c r="G206" t="inlineStr">
        <is>
          <t>MUNKEDAL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45388</v>
      </c>
      <c r="E207" s="1" t="n">
        <v>46231</v>
      </c>
      <c r="F207" t="inlineStr">
        <is>
          <t>VÄSTRA GÖTALANDS LÄN</t>
        </is>
      </c>
      <c r="G207" t="inlineStr">
        <is>
          <t>MUNKEDAL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46231</v>
      </c>
      <c r="F208" t="inlineStr">
        <is>
          <t>VÄSTRA GÖTALANDS LÄN</t>
        </is>
      </c>
      <c r="G208" t="inlineStr">
        <is>
          <t>MUNKEDAL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46231</v>
      </c>
      <c r="F209" t="inlineStr">
        <is>
          <t>VÄSTRA GÖTALANDS LÄN</t>
        </is>
      </c>
      <c r="G209" t="inlineStr">
        <is>
          <t>MUNKEDAL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46231</v>
      </c>
      <c r="F210" t="inlineStr">
        <is>
          <t>VÄSTRA GÖTALANDS LÄN</t>
        </is>
      </c>
      <c r="G210" t="inlineStr">
        <is>
          <t>MUNKEDAL</t>
        </is>
      </c>
      <c r="I210" t="n">
        <v>14.1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46231</v>
      </c>
      <c r="F211" t="inlineStr">
        <is>
          <t>VÄSTRA GÖTALANDS LÄN</t>
        </is>
      </c>
      <c r="G211" t="inlineStr">
        <is>
          <t>MUNKEDAL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46231</v>
      </c>
      <c r="F212" t="inlineStr">
        <is>
          <t>VÄSTRA GÖTALANDS LÄN</t>
        </is>
      </c>
      <c r="G212" t="inlineStr">
        <is>
          <t>MUNKEDAL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46231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Naturvårdsverket</t>
        </is>
      </c>
      <c r="I213" t="n">
        <v>15.8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46231</v>
      </c>
      <c r="F214" t="inlineStr">
        <is>
          <t>VÄSTRA GÖTALANDS LÄN</t>
        </is>
      </c>
      <c r="G214" t="inlineStr">
        <is>
          <t>MUNKEDAL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45111</v>
      </c>
      <c r="E215" s="1" t="n">
        <v>46231</v>
      </c>
      <c r="F215" t="inlineStr">
        <is>
          <t>VÄSTRA GÖTALANDS LÄN</t>
        </is>
      </c>
      <c r="G215" t="inlineStr">
        <is>
          <t>MUNKEDAL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67233-2021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44523</v>
      </c>
      <c r="E216" s="1" t="n">
        <v>46231</v>
      </c>
      <c r="F216" t="inlineStr">
        <is>
          <t>VÄSTRA GÖTALANDS LÄN</t>
        </is>
      </c>
      <c r="G216" t="inlineStr">
        <is>
          <t>MUNKEDAL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46231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Kommuner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44588</v>
      </c>
      <c r="E218" s="1" t="n">
        <v>46231</v>
      </c>
      <c r="F218" t="inlineStr">
        <is>
          <t>VÄSTRA GÖTALANDS LÄN</t>
        </is>
      </c>
      <c r="G218" t="inlineStr">
        <is>
          <t>MUNKEDAL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46231</v>
      </c>
      <c r="F219" t="inlineStr">
        <is>
          <t>VÄSTRA GÖTALANDS LÄN</t>
        </is>
      </c>
      <c r="G219" t="inlineStr">
        <is>
          <t>MUNKEDAL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45355</v>
      </c>
      <c r="E220" s="1" t="n">
        <v>46231</v>
      </c>
      <c r="F220" t="inlineStr">
        <is>
          <t>VÄSTRA GÖTALANDS LÄN</t>
        </is>
      </c>
      <c r="G220" t="inlineStr">
        <is>
          <t>MUNKEDAL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45313</v>
      </c>
      <c r="E221" s="1" t="n">
        <v>46231</v>
      </c>
      <c r="F221" t="inlineStr">
        <is>
          <t>VÄSTRA GÖTALANDS LÄN</t>
        </is>
      </c>
      <c r="G221" t="inlineStr">
        <is>
          <t>MUNKEDAL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46231</v>
      </c>
      <c r="F222" t="inlineStr">
        <is>
          <t>VÄSTRA GÖTALANDS LÄN</t>
        </is>
      </c>
      <c r="G222" t="inlineStr">
        <is>
          <t>MUNKEDAL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46231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Kyrkan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53839-2021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44467</v>
      </c>
      <c r="E224" s="1" t="n">
        <v>46231</v>
      </c>
      <c r="F224" t="inlineStr">
        <is>
          <t>VÄSTRA GÖTALANDS LÄN</t>
        </is>
      </c>
      <c r="G224" t="inlineStr">
        <is>
          <t>MUNKEDAL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46231</v>
      </c>
      <c r="F225" t="inlineStr">
        <is>
          <t>VÄSTRA GÖTALANDS LÄN</t>
        </is>
      </c>
      <c r="G225" t="inlineStr">
        <is>
          <t>MUNKEDAL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46231</v>
      </c>
      <c r="F226" t="inlineStr">
        <is>
          <t>VÄSTRA GÖTALANDS LÄN</t>
        </is>
      </c>
      <c r="G226" t="inlineStr">
        <is>
          <t>MUNKEDAL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45796</v>
      </c>
      <c r="E227" s="1" t="n">
        <v>46231</v>
      </c>
      <c r="F227" t="inlineStr">
        <is>
          <t>VÄSTRA GÖTALANDS LÄN</t>
        </is>
      </c>
      <c r="G227" t="inlineStr">
        <is>
          <t>MUNKEDAL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46231</v>
      </c>
      <c r="F228" t="inlineStr">
        <is>
          <t>VÄSTRA GÖTALANDS LÄN</t>
        </is>
      </c>
      <c r="G228" t="inlineStr">
        <is>
          <t>MUNKEDAL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46231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Kommuner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45362</v>
      </c>
      <c r="E230" s="1" t="n">
        <v>46231</v>
      </c>
      <c r="F230" t="inlineStr">
        <is>
          <t>VÄSTRA GÖTALANDS LÄN</t>
        </is>
      </c>
      <c r="G230" t="inlineStr">
        <is>
          <t>MUNKEDAL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45296</v>
      </c>
      <c r="E231" s="1" t="n">
        <v>46231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Kyrkan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46231</v>
      </c>
      <c r="F232" t="inlineStr">
        <is>
          <t>VÄSTRA GÖTALANDS LÄN</t>
        </is>
      </c>
      <c r="G232" t="inlineStr">
        <is>
          <t>MUNKEDAL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46231</v>
      </c>
      <c r="F233" t="inlineStr">
        <is>
          <t>VÄSTRA GÖTALANDS LÄN</t>
        </is>
      </c>
      <c r="G233" t="inlineStr">
        <is>
          <t>MUNKEDAL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46231</v>
      </c>
      <c r="F234" t="inlineStr">
        <is>
          <t>VÄSTRA GÖTALANDS LÄN</t>
        </is>
      </c>
      <c r="G234" t="inlineStr">
        <is>
          <t>MUNKEDAL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46231</v>
      </c>
      <c r="F235" t="inlineStr">
        <is>
          <t>VÄSTRA GÖTALANDS LÄN</t>
        </is>
      </c>
      <c r="G235" t="inlineStr">
        <is>
          <t>MUNKEDAL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45229</v>
      </c>
      <c r="E236" s="1" t="n">
        <v>46231</v>
      </c>
      <c r="F236" t="inlineStr">
        <is>
          <t>VÄSTRA GÖTALANDS LÄN</t>
        </is>
      </c>
      <c r="G236" t="inlineStr">
        <is>
          <t>MUNKEDAL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46231</v>
      </c>
      <c r="F237" t="inlineStr">
        <is>
          <t>VÄSTRA GÖTALANDS LÄN</t>
        </is>
      </c>
      <c r="G237" t="inlineStr">
        <is>
          <t>MUNKEDAL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46231</v>
      </c>
      <c r="F238" t="inlineStr">
        <is>
          <t>VÄSTRA GÖTALANDS LÄN</t>
        </is>
      </c>
      <c r="G238" t="inlineStr">
        <is>
          <t>MUNKEDAL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46231</v>
      </c>
      <c r="F239" t="inlineStr">
        <is>
          <t>VÄSTRA GÖTALANDS LÄN</t>
        </is>
      </c>
      <c r="G239" t="inlineStr">
        <is>
          <t>MUNKEDAL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46231</v>
      </c>
      <c r="F240" t="inlineStr">
        <is>
          <t>VÄSTRA GÖTALANDS LÄN</t>
        </is>
      </c>
      <c r="G240" t="inlineStr">
        <is>
          <t>MUNKEDAL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45630</v>
      </c>
      <c r="E241" s="1" t="n">
        <v>46231</v>
      </c>
      <c r="F241" t="inlineStr">
        <is>
          <t>VÄSTRA GÖTALANDS LÄN</t>
        </is>
      </c>
      <c r="G241" t="inlineStr">
        <is>
          <t>MUNKEDAL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45630</v>
      </c>
      <c r="E242" s="1" t="n">
        <v>46231</v>
      </c>
      <c r="F242" t="inlineStr">
        <is>
          <t>VÄSTRA GÖTALANDS LÄN</t>
        </is>
      </c>
      <c r="G242" t="inlineStr">
        <is>
          <t>MUNKEDAL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45630</v>
      </c>
      <c r="E243" s="1" t="n">
        <v>46231</v>
      </c>
      <c r="F243" t="inlineStr">
        <is>
          <t>VÄSTRA GÖTALANDS LÄN</t>
        </is>
      </c>
      <c r="G243" t="inlineStr">
        <is>
          <t>MUNKEDAL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46231</v>
      </c>
      <c r="F244" t="inlineStr">
        <is>
          <t>VÄSTRA GÖTALANDS LÄN</t>
        </is>
      </c>
      <c r="G244" t="inlineStr">
        <is>
          <t>MUNKEDAL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46231</v>
      </c>
      <c r="F245" t="inlineStr">
        <is>
          <t>VÄSTRA GÖTALANDS LÄN</t>
        </is>
      </c>
      <c r="G245" t="inlineStr">
        <is>
          <t>MUNKEDAL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44620-2021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44436</v>
      </c>
      <c r="E246" s="1" t="n">
        <v>46231</v>
      </c>
      <c r="F246" t="inlineStr">
        <is>
          <t>VÄSTRA GÖTALANDS LÄN</t>
        </is>
      </c>
      <c r="G246" t="inlineStr">
        <is>
          <t>MUNKEDAL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44672</v>
      </c>
      <c r="E247" s="1" t="n">
        <v>46231</v>
      </c>
      <c r="F247" t="inlineStr">
        <is>
          <t>VÄSTRA GÖTALANDS LÄN</t>
        </is>
      </c>
      <c r="G247" t="inlineStr">
        <is>
          <t>MUNKEDAL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59132-2022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44904</v>
      </c>
      <c r="E248" s="1" t="n">
        <v>46231</v>
      </c>
      <c r="F248" t="inlineStr">
        <is>
          <t>VÄSTRA GÖTALANDS LÄN</t>
        </is>
      </c>
      <c r="G248" t="inlineStr">
        <is>
          <t>MUNKEDAL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46231</v>
      </c>
      <c r="F249" t="inlineStr">
        <is>
          <t>VÄSTRA GÖTALANDS LÄN</t>
        </is>
      </c>
      <c r="G249" t="inlineStr">
        <is>
          <t>MUNKEDAL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46231</v>
      </c>
      <c r="F250" t="inlineStr">
        <is>
          <t>VÄSTRA GÖTALANDS LÄN</t>
        </is>
      </c>
      <c r="G250" t="inlineStr">
        <is>
          <t>MUNKEDAL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46231</v>
      </c>
      <c r="F251" t="inlineStr">
        <is>
          <t>VÄSTRA GÖTALANDS LÄN</t>
        </is>
      </c>
      <c r="G251" t="inlineStr">
        <is>
          <t>MUNKEDAL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64879-2023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45282</v>
      </c>
      <c r="E252" s="1" t="n">
        <v>46231</v>
      </c>
      <c r="F252" t="inlineStr">
        <is>
          <t>VÄSTRA GÖTALANDS LÄN</t>
        </is>
      </c>
      <c r="G252" t="inlineStr">
        <is>
          <t>MUNKEDAL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49731-2025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46231</v>
      </c>
      <c r="F253" t="inlineStr">
        <is>
          <t>VÄSTRA GÖTALANDS LÄN</t>
        </is>
      </c>
      <c r="G253" t="inlineStr">
        <is>
          <t>MUNKEDAL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44579</v>
      </c>
      <c r="E254" s="1" t="n">
        <v>46231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Kyrkan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35685-2024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46231</v>
      </c>
      <c r="F255" t="inlineStr">
        <is>
          <t>VÄSTRA GÖTALANDS LÄN</t>
        </is>
      </c>
      <c r="G255" t="inlineStr">
        <is>
          <t>MUNKEDAL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56789-2021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44481</v>
      </c>
      <c r="E256" s="1" t="n">
        <v>46231</v>
      </c>
      <c r="F256" t="inlineStr">
        <is>
          <t>VÄSTRA GÖTALANDS LÄN</t>
        </is>
      </c>
      <c r="G256" t="inlineStr">
        <is>
          <t>MUNKEDAL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46160</v>
      </c>
      <c r="E257" s="1" t="n">
        <v>46231</v>
      </c>
      <c r="F257" t="inlineStr">
        <is>
          <t>VÄSTRA GÖTALANDS LÄN</t>
        </is>
      </c>
      <c r="G257" t="inlineStr">
        <is>
          <t>MUNKEDAL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45747</v>
      </c>
      <c r="E258" s="1" t="n">
        <v>46231</v>
      </c>
      <c r="F258" t="inlineStr">
        <is>
          <t>VÄSTRA GÖTALANDS LÄN</t>
        </is>
      </c>
      <c r="G258" t="inlineStr">
        <is>
          <t>MUNKEDAL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59150-2022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46231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Kyrkan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46231</v>
      </c>
      <c r="F260" t="inlineStr">
        <is>
          <t>VÄSTRA GÖTALANDS LÄN</t>
        </is>
      </c>
      <c r="G260" t="inlineStr">
        <is>
          <t>MUNKEDAL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46231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statliga verk och myndigheter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46231</v>
      </c>
      <c r="F262" t="inlineStr">
        <is>
          <t>VÄSTRA GÖTALANDS LÄN</t>
        </is>
      </c>
      <c r="G262" t="inlineStr">
        <is>
          <t>MUNKEDAL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45614</v>
      </c>
      <c r="E263" s="1" t="n">
        <v>46231</v>
      </c>
      <c r="F263" t="inlineStr">
        <is>
          <t>VÄSTRA GÖTALANDS LÄN</t>
        </is>
      </c>
      <c r="G263" t="inlineStr">
        <is>
          <t>MUNKEDAL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46231</v>
      </c>
      <c r="F264" t="inlineStr">
        <is>
          <t>VÄSTRA GÖTALANDS LÄN</t>
        </is>
      </c>
      <c r="G264" t="inlineStr">
        <is>
          <t>MUNKEDAL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46231</v>
      </c>
      <c r="F265" t="inlineStr">
        <is>
          <t>VÄSTRA GÖTALANDS LÄN</t>
        </is>
      </c>
      <c r="G265" t="inlineStr">
        <is>
          <t>MUNKEDAL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46231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44487</v>
      </c>
      <c r="E267" s="1" t="n">
        <v>46231</v>
      </c>
      <c r="F267" t="inlineStr">
        <is>
          <t>VÄSTRA GÖTALANDS LÄN</t>
        </is>
      </c>
      <c r="G267" t="inlineStr">
        <is>
          <t>MUNKEDAL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45640</v>
      </c>
      <c r="E268" s="1" t="n">
        <v>46231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28995-2022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44749</v>
      </c>
      <c r="E269" s="1" t="n">
        <v>46231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29707-2022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44755</v>
      </c>
      <c r="E270" s="1" t="n">
        <v>46231</v>
      </c>
      <c r="F270" t="inlineStr">
        <is>
          <t>VÄSTRA GÖTALANDS LÄN</t>
        </is>
      </c>
      <c r="G270" t="inlineStr">
        <is>
          <t>MUNKEDAL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45575</v>
      </c>
      <c r="E271" s="1" t="n">
        <v>46231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Naturvårdsverket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46231</v>
      </c>
      <c r="F272" t="inlineStr">
        <is>
          <t>VÄSTRA GÖTALANDS LÄN</t>
        </is>
      </c>
      <c r="G272" t="inlineStr">
        <is>
          <t>MUNKEDAL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46231</v>
      </c>
      <c r="F273" t="inlineStr">
        <is>
          <t>VÄSTRA GÖTALANDS LÄN</t>
        </is>
      </c>
      <c r="G273" t="inlineStr">
        <is>
          <t>MUNKEDAL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45189</v>
      </c>
      <c r="E274" s="1" t="n">
        <v>46231</v>
      </c>
      <c r="F274" t="inlineStr">
        <is>
          <t>VÄSTRA GÖTALANDS LÄN</t>
        </is>
      </c>
      <c r="G274" t="inlineStr">
        <is>
          <t>MUNKEDAL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49574-2024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45596</v>
      </c>
      <c r="E275" s="1" t="n">
        <v>46231</v>
      </c>
      <c r="F275" t="inlineStr">
        <is>
          <t>VÄSTRA GÖTALANDS LÄN</t>
        </is>
      </c>
      <c r="G275" t="inlineStr">
        <is>
          <t>MUNKEDAL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46231</v>
      </c>
      <c r="F276" t="inlineStr">
        <is>
          <t>VÄSTRA GÖTALANDS LÄN</t>
        </is>
      </c>
      <c r="G276" t="inlineStr">
        <is>
          <t>MUNKEDAL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46231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Kyrkan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46231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45560</v>
      </c>
      <c r="E279" s="1" t="n">
        <v>46231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46231</v>
      </c>
      <c r="F280" t="inlineStr">
        <is>
          <t>VÄSTRA GÖTALANDS LÄN</t>
        </is>
      </c>
      <c r="G280" t="inlineStr">
        <is>
          <t>MUNKEDAL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45478</v>
      </c>
      <c r="E281" s="1" t="n">
        <v>46231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46169</v>
      </c>
      <c r="E282" s="1" t="n">
        <v>46231</v>
      </c>
      <c r="F282" t="inlineStr">
        <is>
          <t>VÄSTRA GÖTALANDS LÄN</t>
        </is>
      </c>
      <c r="G282" t="inlineStr">
        <is>
          <t>MUNKEDAL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44593</v>
      </c>
      <c r="E283" s="1" t="n">
        <v>46231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45325</v>
      </c>
      <c r="E284" s="1" t="n">
        <v>46231</v>
      </c>
      <c r="F284" t="inlineStr">
        <is>
          <t>VÄSTRA GÖTALANDS LÄN</t>
        </is>
      </c>
      <c r="G284" t="inlineStr">
        <is>
          <t>MUNKEDAL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13661-2025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45736</v>
      </c>
      <c r="E285" s="1" t="n">
        <v>46231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46175</v>
      </c>
      <c r="E286" s="1" t="n">
        <v>46231</v>
      </c>
      <c r="F286" t="inlineStr">
        <is>
          <t>VÄSTRA GÖTALANDS LÄN</t>
        </is>
      </c>
      <c r="G286" t="inlineStr">
        <is>
          <t>MUNKEDAL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46209</v>
      </c>
      <c r="E287" s="1" t="n">
        <v>46231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46217</v>
      </c>
      <c r="E288" s="1" t="n">
        <v>46231</v>
      </c>
      <c r="F288" t="inlineStr">
        <is>
          <t>VÄSTRA GÖTALANDS LÄN</t>
        </is>
      </c>
      <c r="G288" t="inlineStr">
        <is>
          <t>MUNKEDAL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46231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46209</v>
      </c>
      <c r="E290" s="1" t="n">
        <v>46231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46231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46217</v>
      </c>
      <c r="E292" s="1" t="n">
        <v>46231</v>
      </c>
      <c r="F292" t="inlineStr">
        <is>
          <t>VÄSTRA GÖTALANDS LÄN</t>
        </is>
      </c>
      <c r="G292" t="inlineStr">
        <is>
          <t>MUNKEDAL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49912-2023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45214</v>
      </c>
      <c r="E293" s="1" t="n">
        <v>46231</v>
      </c>
      <c r="F293" t="inlineStr">
        <is>
          <t>VÄSTRA GÖTALANDS LÄN</t>
        </is>
      </c>
      <c r="G293" t="inlineStr">
        <is>
          <t>MUNKEDAL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46231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Kyrkan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46231</v>
      </c>
      <c r="F295" t="inlineStr">
        <is>
          <t>VÄSTRA GÖTALANDS LÄN</t>
        </is>
      </c>
      <c r="G295" t="inlineStr">
        <is>
          <t>MUNKEDAL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45147</v>
      </c>
      <c r="E296" s="1" t="n">
        <v>46231</v>
      </c>
      <c r="F296" t="inlineStr">
        <is>
          <t>VÄSTRA GÖTALANDS LÄN</t>
        </is>
      </c>
      <c r="G296" t="inlineStr">
        <is>
          <t>MUNKEDAL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45138</v>
      </c>
      <c r="E297" s="1" t="n">
        <v>46231</v>
      </c>
      <c r="F297" t="inlineStr">
        <is>
          <t>VÄSTRA GÖTALANDS LÄN</t>
        </is>
      </c>
      <c r="G297" t="inlineStr">
        <is>
          <t>MUNKEDAL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38164-2022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46231</v>
      </c>
      <c r="F298" t="inlineStr">
        <is>
          <t>VÄSTRA GÖTALANDS LÄN</t>
        </is>
      </c>
      <c r="G298" t="inlineStr">
        <is>
          <t>MUNKEDAL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18278-2025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45762</v>
      </c>
      <c r="E299" s="1" t="n">
        <v>46231</v>
      </c>
      <c r="F299" t="inlineStr">
        <is>
          <t>VÄSTRA GÖTALANDS LÄN</t>
        </is>
      </c>
      <c r="G299" t="inlineStr">
        <is>
          <t>MUNKEDAL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46231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45155</v>
      </c>
      <c r="E301" s="1" t="n">
        <v>46231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46231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46231</v>
      </c>
      <c r="F303" t="inlineStr">
        <is>
          <t>VÄSTRA GÖTALANDS LÄN</t>
        </is>
      </c>
      <c r="G303" t="inlineStr">
        <is>
          <t>MUNKEDAL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46231</v>
      </c>
      <c r="F304" t="inlineStr">
        <is>
          <t>VÄSTRA GÖTALANDS LÄN</t>
        </is>
      </c>
      <c r="G304" t="inlineStr">
        <is>
          <t>MUNKEDAL</t>
        </is>
      </c>
      <c r="I304" t="n">
        <v>10.9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46231</v>
      </c>
      <c r="F305" t="inlineStr">
        <is>
          <t>VÄSTRA GÖTALANDS LÄN</t>
        </is>
      </c>
      <c r="G305" t="inlineStr">
        <is>
          <t>MUNKEDAL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58515-2025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46231</v>
      </c>
      <c r="F306" t="inlineStr">
        <is>
          <t>VÄSTRA GÖTALANDS LÄN</t>
        </is>
      </c>
      <c r="G306" t="inlineStr">
        <is>
          <t>MUNKEDAL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46231</v>
      </c>
      <c r="F307" t="inlineStr">
        <is>
          <t>VÄSTRA GÖTALANDS LÄN</t>
        </is>
      </c>
      <c r="G307" t="inlineStr">
        <is>
          <t>MUNKEDAL</t>
        </is>
      </c>
      <c r="I307" t="n">
        <v>16.3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46231</v>
      </c>
      <c r="F308" t="inlineStr">
        <is>
          <t>VÄSTRA GÖTALANDS LÄN</t>
        </is>
      </c>
      <c r="G308" t="inlineStr">
        <is>
          <t>MUNKEDAL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46231</v>
      </c>
      <c r="F309" t="inlineStr">
        <is>
          <t>VÄSTRA GÖTALANDS LÄN</t>
        </is>
      </c>
      <c r="G309" t="inlineStr">
        <is>
          <t>MUNKEDAL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46231</v>
      </c>
      <c r="F310" t="inlineStr">
        <is>
          <t>VÄSTRA GÖTALANDS LÄN</t>
        </is>
      </c>
      <c r="G310" t="inlineStr">
        <is>
          <t>MUNKEDAL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45750</v>
      </c>
      <c r="E311" s="1" t="n">
        <v>46231</v>
      </c>
      <c r="F311" t="inlineStr">
        <is>
          <t>VÄSTRA GÖTALANDS LÄN</t>
        </is>
      </c>
      <c r="G311" t="inlineStr">
        <is>
          <t>MUNKEDAL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46231</v>
      </c>
      <c r="F312" t="inlineStr">
        <is>
          <t>VÄSTRA GÖTALANDS LÄN</t>
        </is>
      </c>
      <c r="G312" t="inlineStr">
        <is>
          <t>MUNKEDAL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45337</v>
      </c>
      <c r="E313" s="1" t="n">
        <v>46231</v>
      </c>
      <c r="F313" t="inlineStr">
        <is>
          <t>VÄSTRA GÖTALANDS LÄN</t>
        </is>
      </c>
      <c r="G313" t="inlineStr">
        <is>
          <t>MUNKEDAL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44715</v>
      </c>
      <c r="E314" s="1" t="n">
        <v>46231</v>
      </c>
      <c r="F314" t="inlineStr">
        <is>
          <t>VÄSTRA GÖTALANDS LÄN</t>
        </is>
      </c>
      <c r="G314" t="inlineStr">
        <is>
          <t>MUNKEDAL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45293</v>
      </c>
      <c r="E315" s="1" t="n">
        <v>46231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45160</v>
      </c>
      <c r="E316" s="1" t="n">
        <v>46231</v>
      </c>
      <c r="F316" t="inlineStr">
        <is>
          <t>VÄSTRA GÖTALANDS LÄN</t>
        </is>
      </c>
      <c r="G316" t="inlineStr">
        <is>
          <t>MUNKEDAL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37327-2022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44806</v>
      </c>
      <c r="E317" s="1" t="n">
        <v>46231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25.2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45215</v>
      </c>
      <c r="E318" s="1" t="n">
        <v>46231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46231</v>
      </c>
      <c r="F319" t="inlineStr">
        <is>
          <t>VÄSTRA GÖTALANDS LÄN</t>
        </is>
      </c>
      <c r="G319" t="inlineStr">
        <is>
          <t>MUNKEDAL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44704</v>
      </c>
      <c r="E320" s="1" t="n">
        <v>46231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45293</v>
      </c>
      <c r="E321" s="1" t="n">
        <v>46231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45296</v>
      </c>
      <c r="E322" s="1" t="n">
        <v>46231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Kyrkan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46231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Övriga Aktiebolag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46231</v>
      </c>
      <c r="F324" t="inlineStr">
        <is>
          <t>VÄSTRA GÖTALANDS LÄN</t>
        </is>
      </c>
      <c r="G324" t="inlineStr">
        <is>
          <t>MUNKEDAL</t>
        </is>
      </c>
      <c r="I324" t="n">
        <v>17.5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46231</v>
      </c>
      <c r="F325" t="inlineStr">
        <is>
          <t>VÄSTRA GÖTALANDS LÄN</t>
        </is>
      </c>
      <c r="G325" t="inlineStr">
        <is>
          <t>MUNKEDAL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46231</v>
      </c>
      <c r="F326" t="inlineStr">
        <is>
          <t>VÄSTRA GÖTALANDS LÄN</t>
        </is>
      </c>
      <c r="G326" t="inlineStr">
        <is>
          <t>MUNKEDAL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46002</v>
      </c>
      <c r="E327" s="1" t="n">
        <v>46231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51409-2022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44866</v>
      </c>
      <c r="E328" s="1" t="n">
        <v>46231</v>
      </c>
      <c r="F328" t="inlineStr">
        <is>
          <t>VÄSTRA GÖTALANDS LÄN</t>
        </is>
      </c>
      <c r="G328" t="inlineStr">
        <is>
          <t>MUNKEDAL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46231</v>
      </c>
      <c r="F329" t="inlineStr">
        <is>
          <t>VÄSTRA GÖTALANDS LÄN</t>
        </is>
      </c>
      <c r="G329" t="inlineStr">
        <is>
          <t>MUNKEDAL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45470</v>
      </c>
      <c r="E330" s="1" t="n">
        <v>46231</v>
      </c>
      <c r="F330" t="inlineStr">
        <is>
          <t>VÄSTRA GÖTALANDS LÄN</t>
        </is>
      </c>
      <c r="G330" t="inlineStr">
        <is>
          <t>MUNKEDAL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45123-2021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44439</v>
      </c>
      <c r="E331" s="1" t="n">
        <v>46231</v>
      </c>
      <c r="F331" t="inlineStr">
        <is>
          <t>VÄSTRA GÖTALANDS LÄN</t>
        </is>
      </c>
      <c r="G331" t="inlineStr">
        <is>
          <t>MUNKEDAL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46007</v>
      </c>
      <c r="E332" s="1" t="n">
        <v>46231</v>
      </c>
      <c r="F332" t="inlineStr">
        <is>
          <t>VÄSTRA GÖTALANDS LÄN</t>
        </is>
      </c>
      <c r="G332" t="inlineStr">
        <is>
          <t>MUNKEDAL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54955-2024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45619</v>
      </c>
      <c r="E333" s="1" t="n">
        <v>46231</v>
      </c>
      <c r="F333" t="inlineStr">
        <is>
          <t>VÄSTRA GÖTALANDS LÄN</t>
        </is>
      </c>
      <c r="G333" t="inlineStr">
        <is>
          <t>MUNKEDAL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54001-2023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45231</v>
      </c>
      <c r="E334" s="1" t="n">
        <v>46231</v>
      </c>
      <c r="F334" t="inlineStr">
        <is>
          <t>VÄSTRA GÖTALANDS LÄN</t>
        </is>
      </c>
      <c r="G334" t="inlineStr">
        <is>
          <t>MUNKEDAL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45469-2023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45188</v>
      </c>
      <c r="E335" s="1" t="n">
        <v>46231</v>
      </c>
      <c r="F335" t="inlineStr">
        <is>
          <t>VÄSTRA GÖTALANDS LÄN</t>
        </is>
      </c>
      <c r="G335" t="inlineStr">
        <is>
          <t>MUNKEDAL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41521-2023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45175</v>
      </c>
      <c r="E336" s="1" t="n">
        <v>46231</v>
      </c>
      <c r="F336" t="inlineStr">
        <is>
          <t>VÄSTRA GÖTALANDS LÄN</t>
        </is>
      </c>
      <c r="G336" t="inlineStr">
        <is>
          <t>MUNKEDAL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46013</v>
      </c>
      <c r="E337" s="1" t="n">
        <v>46231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Aktiebolag</t>
        </is>
      </c>
      <c r="I337" t="n">
        <v>11.6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63515-2025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46231</v>
      </c>
      <c r="F338" t="inlineStr">
        <is>
          <t>VÄSTRA GÖTALANDS LÄN</t>
        </is>
      </c>
      <c r="G338" t="inlineStr">
        <is>
          <t>MUNKEDAL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46022</v>
      </c>
      <c r="E339" s="1" t="n">
        <v>46231</v>
      </c>
      <c r="F339" t="inlineStr">
        <is>
          <t>VÄSTRA GÖTALANDS LÄN</t>
        </is>
      </c>
      <c r="G339" t="inlineStr">
        <is>
          <t>MUNKEDAL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46022</v>
      </c>
      <c r="E340" s="1" t="n">
        <v>46231</v>
      </c>
      <c r="F340" t="inlineStr">
        <is>
          <t>VÄSTRA GÖTALANDS LÄN</t>
        </is>
      </c>
      <c r="G340" t="inlineStr">
        <is>
          <t>MUNKEDAL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11262-2024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45371</v>
      </c>
      <c r="E341" s="1" t="n">
        <v>46231</v>
      </c>
      <c r="F341" t="inlineStr">
        <is>
          <t>VÄSTRA GÖTALANDS LÄN</t>
        </is>
      </c>
      <c r="G341" t="inlineStr">
        <is>
          <t>MUNKEDAL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45322</v>
      </c>
      <c r="E342" s="1" t="n">
        <v>46231</v>
      </c>
      <c r="F342" t="inlineStr">
        <is>
          <t>VÄSTRA GÖTALANDS LÄN</t>
        </is>
      </c>
      <c r="G342" t="inlineStr">
        <is>
          <t>MUNKEDAL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46231</v>
      </c>
      <c r="F343" t="inlineStr">
        <is>
          <t>VÄSTRA GÖTALANDS LÄN</t>
        </is>
      </c>
      <c r="G343" t="inlineStr">
        <is>
          <t>MUNKEDAL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44606</v>
      </c>
      <c r="E344" s="1" t="n">
        <v>46231</v>
      </c>
      <c r="F344" t="inlineStr">
        <is>
          <t>VÄSTRA GÖTALANDS LÄN</t>
        </is>
      </c>
      <c r="G344" t="inlineStr">
        <is>
          <t>MUNKEDAL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45489</v>
      </c>
      <c r="E345" s="1" t="n">
        <v>46231</v>
      </c>
      <c r="F345" t="inlineStr">
        <is>
          <t>VÄSTRA GÖTALANDS LÄN</t>
        </is>
      </c>
      <c r="G345" t="inlineStr">
        <is>
          <t>MUNKEDAL</t>
        </is>
      </c>
      <c r="I345" t="n">
        <v>10.3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62090-2023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46231</v>
      </c>
      <c r="F346" t="inlineStr">
        <is>
          <t>VÄSTRA GÖTALANDS LÄN</t>
        </is>
      </c>
      <c r="G346" t="inlineStr">
        <is>
          <t>MUNKEDAL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45084</v>
      </c>
      <c r="E347" s="1" t="n">
        <v>46231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45076</v>
      </c>
      <c r="E348" s="1" t="n">
        <v>46231</v>
      </c>
      <c r="F348" t="inlineStr">
        <is>
          <t>VÄSTRA GÖTALANDS LÄN</t>
        </is>
      </c>
      <c r="G348" t="inlineStr">
        <is>
          <t>MUNKEDAL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38544-2024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45546</v>
      </c>
      <c r="E349" s="1" t="n">
        <v>46231</v>
      </c>
      <c r="F349" t="inlineStr">
        <is>
          <t>VÄSTRA GÖTALANDS LÄN</t>
        </is>
      </c>
      <c r="G349" t="inlineStr">
        <is>
          <t>MUNKEDAL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46231</v>
      </c>
      <c r="F350" t="inlineStr">
        <is>
          <t>VÄSTRA GÖTALANDS LÄN</t>
        </is>
      </c>
      <c r="G350" t="inlineStr">
        <is>
          <t>MUNKEDAL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49218-2022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44861</v>
      </c>
      <c r="E351" s="1" t="n">
        <v>46231</v>
      </c>
      <c r="F351" t="inlineStr">
        <is>
          <t>VÄSTRA GÖTALANDS LÄN</t>
        </is>
      </c>
      <c r="G351" t="inlineStr">
        <is>
          <t>MUNKEDAL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44937</v>
      </c>
      <c r="E352" s="1" t="n">
        <v>46231</v>
      </c>
      <c r="F352" t="inlineStr">
        <is>
          <t>VÄSTRA GÖTALANDS LÄN</t>
        </is>
      </c>
      <c r="G352" t="inlineStr">
        <is>
          <t>MUNKEDAL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47378-2021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44447</v>
      </c>
      <c r="E353" s="1" t="n">
        <v>46231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Övriga Aktiebolag</t>
        </is>
      </c>
      <c r="I353" t="n">
        <v>21.7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44580</v>
      </c>
      <c r="E354" s="1" t="n">
        <v>46231</v>
      </c>
      <c r="F354" t="inlineStr">
        <is>
          <t>VÄSTRA GÖTALANDS LÄN</t>
        </is>
      </c>
      <c r="G354" t="inlineStr">
        <is>
          <t>MUNKEDAL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46231</v>
      </c>
      <c r="F355" t="inlineStr">
        <is>
          <t>VÄSTRA GÖTALANDS LÄN</t>
        </is>
      </c>
      <c r="G355" t="inlineStr">
        <is>
          <t>MUNKEDAL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45049</v>
      </c>
      <c r="E356" s="1" t="n">
        <v>46231</v>
      </c>
      <c r="F356" t="inlineStr">
        <is>
          <t>VÄSTRA GÖTALANDS LÄN</t>
        </is>
      </c>
      <c r="G356" t="inlineStr">
        <is>
          <t>MUNKEDAL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49946-2021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44454</v>
      </c>
      <c r="E357" s="1" t="n">
        <v>46231</v>
      </c>
      <c r="F357" t="inlineStr">
        <is>
          <t>VÄSTRA GÖTALANDS LÄN</t>
        </is>
      </c>
      <c r="G357" t="inlineStr">
        <is>
          <t>MUNKEDAL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45070</v>
      </c>
      <c r="E358" s="1" t="n">
        <v>46231</v>
      </c>
      <c r="F358" t="inlineStr">
        <is>
          <t>VÄSTRA GÖTALANDS LÄN</t>
        </is>
      </c>
      <c r="G358" t="inlineStr">
        <is>
          <t>MUNKEDAL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44958</v>
      </c>
      <c r="E359" s="1" t="n">
        <v>46231</v>
      </c>
      <c r="F359" t="inlineStr">
        <is>
          <t>VÄSTRA GÖTALANDS LÄN</t>
        </is>
      </c>
      <c r="G359" t="inlineStr">
        <is>
          <t>MUNKEDAL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45076</v>
      </c>
      <c r="E360" s="1" t="n">
        <v>46231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54933-2024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46231</v>
      </c>
      <c r="F361" t="inlineStr">
        <is>
          <t>VÄSTRA GÖTALANDS LÄN</t>
        </is>
      </c>
      <c r="G361" t="inlineStr">
        <is>
          <t>MUNKEDAL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46231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Naturvårdsverket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45111</v>
      </c>
      <c r="E363" s="1" t="n">
        <v>46231</v>
      </c>
      <c r="F363" t="inlineStr">
        <is>
          <t>VÄSTRA GÖTALANDS LÄN</t>
        </is>
      </c>
      <c r="G363" t="inlineStr">
        <is>
          <t>MUNKEDAL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45268</v>
      </c>
      <c r="E364" s="1" t="n">
        <v>46231</v>
      </c>
      <c r="F364" t="inlineStr">
        <is>
          <t>VÄSTRA GÖTALANDS LÄN</t>
        </is>
      </c>
      <c r="G364" t="inlineStr">
        <is>
          <t>MUNKEDAL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46231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28393-2022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44747</v>
      </c>
      <c r="E366" s="1" t="n">
        <v>46231</v>
      </c>
      <c r="F366" t="inlineStr">
        <is>
          <t>VÄSTRA GÖTALANDS LÄN</t>
        </is>
      </c>
      <c r="G366" t="inlineStr">
        <is>
          <t>MUNKEDAL</t>
        </is>
      </c>
      <c r="I366" t="n">
        <v>9.800000000000001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45488</v>
      </c>
      <c r="E367" s="1" t="n">
        <v>46231</v>
      </c>
      <c r="F367" t="inlineStr">
        <is>
          <t>VÄSTRA GÖTALANDS LÄN</t>
        </is>
      </c>
      <c r="G367" t="inlineStr">
        <is>
          <t>MUNKEDAL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45321</v>
      </c>
      <c r="E368" s="1" t="n">
        <v>46231</v>
      </c>
      <c r="F368" t="inlineStr">
        <is>
          <t>VÄSTRA GÖTALANDS LÄN</t>
        </is>
      </c>
      <c r="G368" t="inlineStr">
        <is>
          <t>MUNKEDAL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45317</v>
      </c>
      <c r="E369" s="1" t="n">
        <v>46231</v>
      </c>
      <c r="F369" t="inlineStr">
        <is>
          <t>VÄSTRA GÖTALANDS LÄN</t>
        </is>
      </c>
      <c r="G369" t="inlineStr">
        <is>
          <t>MUNKEDAL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46231</v>
      </c>
      <c r="F370" t="inlineStr">
        <is>
          <t>VÄSTRA GÖTALANDS LÄN</t>
        </is>
      </c>
      <c r="G370" t="inlineStr">
        <is>
          <t>MUNKEDAL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45356</v>
      </c>
      <c r="E371" s="1" t="n">
        <v>46231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29969-2024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45488</v>
      </c>
      <c r="E372" s="1" t="n">
        <v>46231</v>
      </c>
      <c r="F372" t="inlineStr">
        <is>
          <t>VÄSTRA GÖTALANDS LÄN</t>
        </is>
      </c>
      <c r="G372" t="inlineStr">
        <is>
          <t>MUNKEDAL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45540</v>
      </c>
      <c r="E373" s="1" t="n">
        <v>46231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45761</v>
      </c>
      <c r="E374" s="1" t="n">
        <v>46231</v>
      </c>
      <c r="F374" t="inlineStr">
        <is>
          <t>VÄSTRA GÖTALANDS LÄN</t>
        </is>
      </c>
      <c r="G374" t="inlineStr">
        <is>
          <t>MUNKEDAL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45120</v>
      </c>
      <c r="E375" s="1" t="n">
        <v>46231</v>
      </c>
      <c r="F375" t="inlineStr">
        <is>
          <t>VÄSTRA GÖTALANDS LÄN</t>
        </is>
      </c>
      <c r="G375" t="inlineStr">
        <is>
          <t>MUNKEDAL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45667</v>
      </c>
      <c r="E376" s="1" t="n">
        <v>46231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44993</v>
      </c>
      <c r="E377" s="1" t="n">
        <v>46231</v>
      </c>
      <c r="F377" t="inlineStr">
        <is>
          <t>VÄSTRA GÖTALANDS LÄN</t>
        </is>
      </c>
      <c r="G377" t="inlineStr">
        <is>
          <t>MUNKEDAL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45063</v>
      </c>
      <c r="E378" s="1" t="n">
        <v>46231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44630</v>
      </c>
      <c r="E379" s="1" t="n">
        <v>46231</v>
      </c>
      <c r="F379" t="inlineStr">
        <is>
          <t>VÄSTRA GÖTALANDS LÄN</t>
        </is>
      </c>
      <c r="G379" t="inlineStr">
        <is>
          <t>MUNKEDAL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45620</v>
      </c>
      <c r="E380" s="1" t="n">
        <v>46231</v>
      </c>
      <c r="F380" t="inlineStr">
        <is>
          <t>VÄSTRA GÖTALANDS LÄN</t>
        </is>
      </c>
      <c r="G380" t="inlineStr">
        <is>
          <t>MUNKEDAL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45674</v>
      </c>
      <c r="E381" s="1" t="n">
        <v>46231</v>
      </c>
      <c r="F381" t="inlineStr">
        <is>
          <t>VÄSTRA GÖTALANDS LÄN</t>
        </is>
      </c>
      <c r="G381" t="inlineStr">
        <is>
          <t>MUNKEDAL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45618</v>
      </c>
      <c r="E382" s="1" t="n">
        <v>46231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44920</v>
      </c>
      <c r="E383" s="1" t="n">
        <v>46231</v>
      </c>
      <c r="F383" t="inlineStr">
        <is>
          <t>VÄSTRA GÖTALANDS LÄN</t>
        </is>
      </c>
      <c r="G383" t="inlineStr">
        <is>
          <t>MUNKEDAL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62101-2022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44920</v>
      </c>
      <c r="E384" s="1" t="n">
        <v>46231</v>
      </c>
      <c r="F384" t="inlineStr">
        <is>
          <t>VÄSTRA GÖTALANDS LÄN</t>
        </is>
      </c>
      <c r="G384" t="inlineStr">
        <is>
          <t>MUNKEDAL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45306</v>
      </c>
      <c r="E385" s="1" t="n">
        <v>46231</v>
      </c>
      <c r="F385" t="inlineStr">
        <is>
          <t>VÄSTRA GÖTALANDS LÄN</t>
        </is>
      </c>
      <c r="G385" t="inlineStr">
        <is>
          <t>MUNKEDAL</t>
        </is>
      </c>
      <c r="I385" t="n">
        <v>25.2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45684</v>
      </c>
      <c r="E386" s="1" t="n">
        <v>46231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Kommuner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46231</v>
      </c>
      <c r="F387" t="inlineStr">
        <is>
          <t>VÄSTRA GÖTALANDS LÄN</t>
        </is>
      </c>
      <c r="G387" t="inlineStr">
        <is>
          <t>MUNKEDAL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50034-2023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45215</v>
      </c>
      <c r="E388" s="1" t="n">
        <v>46231</v>
      </c>
      <c r="F388" t="inlineStr">
        <is>
          <t>VÄSTRA GÖTALANDS LÄN</t>
        </is>
      </c>
      <c r="G388" t="inlineStr">
        <is>
          <t>MUNKEDAL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45667</v>
      </c>
      <c r="E389" s="1" t="n">
        <v>46231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20251-2022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46231</v>
      </c>
      <c r="F390" t="inlineStr">
        <is>
          <t>VÄSTRA GÖTALANDS LÄN</t>
        </is>
      </c>
      <c r="G390" t="inlineStr">
        <is>
          <t>MUNKEDAL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21063-2025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45777</v>
      </c>
      <c r="E391" s="1" t="n">
        <v>46231</v>
      </c>
      <c r="F391" t="inlineStr">
        <is>
          <t>VÄSTRA GÖTALANDS LÄN</t>
        </is>
      </c>
      <c r="G391" t="inlineStr">
        <is>
          <t>MUNKEDAL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45614</v>
      </c>
      <c r="E392" s="1" t="n">
        <v>46231</v>
      </c>
      <c r="F392" t="inlineStr">
        <is>
          <t>VÄSTRA GÖTALANDS LÄN</t>
        </is>
      </c>
      <c r="G392" t="inlineStr">
        <is>
          <t>MUNKEDAL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45778</v>
      </c>
      <c r="E393" s="1" t="n">
        <v>46231</v>
      </c>
      <c r="F393" t="inlineStr">
        <is>
          <t>VÄSTRA GÖTALANDS LÄN</t>
        </is>
      </c>
      <c r="G393" t="inlineStr">
        <is>
          <t>MUNKEDAL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45778</v>
      </c>
      <c r="E394" s="1" t="n">
        <v>46231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21086-2025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45777</v>
      </c>
      <c r="E395" s="1" t="n">
        <v>46231</v>
      </c>
      <c r="F395" t="inlineStr">
        <is>
          <t>VÄSTRA GÖTALANDS LÄN</t>
        </is>
      </c>
      <c r="G395" t="inlineStr">
        <is>
          <t>MUNKEDAL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46231</v>
      </c>
      <c r="F396" t="inlineStr">
        <is>
          <t>VÄSTRA GÖTALANDS LÄN</t>
        </is>
      </c>
      <c r="G396" t="inlineStr">
        <is>
          <t>MUNKEDAL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46231</v>
      </c>
      <c r="F397" t="inlineStr">
        <is>
          <t>VÄSTRA GÖTALANDS LÄN</t>
        </is>
      </c>
      <c r="G397" t="inlineStr">
        <is>
          <t>MUNKEDAL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46231</v>
      </c>
      <c r="F398" t="inlineStr">
        <is>
          <t>VÄSTRA GÖTALANDS LÄN</t>
        </is>
      </c>
      <c r="G398" t="inlineStr">
        <is>
          <t>MUNKEDAL</t>
        </is>
      </c>
      <c r="I398" t="n">
        <v>13.8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14327-2025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46231</v>
      </c>
      <c r="F399" t="inlineStr">
        <is>
          <t>VÄSTRA GÖTALANDS LÄN</t>
        </is>
      </c>
      <c r="G399" t="inlineStr">
        <is>
          <t>MUNKEDAL</t>
        </is>
      </c>
      <c r="I399" t="n">
        <v>12.7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45408</v>
      </c>
      <c r="E400" s="1" t="n">
        <v>46231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45720</v>
      </c>
      <c r="E401" s="1" t="n">
        <v>46231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45721</v>
      </c>
      <c r="E402" s="1" t="n">
        <v>46231</v>
      </c>
      <c r="F402" t="inlineStr">
        <is>
          <t>VÄSTRA GÖTALANDS LÄN</t>
        </is>
      </c>
      <c r="G402" t="inlineStr">
        <is>
          <t>MUNKEDAL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46231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26.5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45792</v>
      </c>
      <c r="E404" s="1" t="n">
        <v>46231</v>
      </c>
      <c r="F404" t="inlineStr">
        <is>
          <t>VÄSTRA GÖTALANDS LÄN</t>
        </is>
      </c>
      <c r="G404" t="inlineStr">
        <is>
          <t>MUNKEDAL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45696</v>
      </c>
      <c r="E405" s="1" t="n">
        <v>46231</v>
      </c>
      <c r="F405" t="inlineStr">
        <is>
          <t>VÄSTRA GÖTALANDS LÄN</t>
        </is>
      </c>
      <c r="G405" t="inlineStr">
        <is>
          <t>MUNKEDAL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45797</v>
      </c>
      <c r="E406" s="1" t="n">
        <v>46231</v>
      </c>
      <c r="F406" t="inlineStr">
        <is>
          <t>VÄSTRA GÖTALANDS LÄN</t>
        </is>
      </c>
      <c r="G406" t="inlineStr">
        <is>
          <t>MUNKEDAL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45797</v>
      </c>
      <c r="E407" s="1" t="n">
        <v>46231</v>
      </c>
      <c r="F407" t="inlineStr">
        <is>
          <t>VÄSTRA GÖTALANDS LÄN</t>
        </is>
      </c>
      <c r="G407" t="inlineStr">
        <is>
          <t>MUNKEDAL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51411-2022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44866</v>
      </c>
      <c r="E408" s="1" t="n">
        <v>46231</v>
      </c>
      <c r="F408" t="inlineStr">
        <is>
          <t>VÄSTRA GÖTALANDS LÄN</t>
        </is>
      </c>
      <c r="G408" t="inlineStr">
        <is>
          <t>MUNKEDAL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45189</v>
      </c>
      <c r="E409" s="1" t="n">
        <v>46231</v>
      </c>
      <c r="F409" t="inlineStr">
        <is>
          <t>VÄSTRA GÖTALANDS LÄN</t>
        </is>
      </c>
      <c r="G409" t="inlineStr">
        <is>
          <t>MUNKEDAL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47758-2024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45588</v>
      </c>
      <c r="E410" s="1" t="n">
        <v>46231</v>
      </c>
      <c r="F410" t="inlineStr">
        <is>
          <t>VÄSTRA GÖTALANDS LÄN</t>
        </is>
      </c>
      <c r="G410" t="inlineStr">
        <is>
          <t>MUNKEDAL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46231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46231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46231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46231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46231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2026-07-28T01:51:28Z</dcterms:created>
  <dcterms:modified xmlns:dcterms="http://purl.org/dc/terms/" xmlns:xsi="http://www.w3.org/2001/XMLSchema-instance" xsi:type="dcterms:W3CDTF">2026-07-28T01:51:29Z</dcterms:modified>
</cp:coreProperties>
</file>