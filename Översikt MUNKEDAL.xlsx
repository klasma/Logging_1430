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46218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46218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46218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46218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46218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46218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46218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Havsörn
Gullviva</t>
        </is>
      </c>
      <c r="V8">
        <f>HYPERLINK("https://klasma.github.io/Logging_1430/artfynd/A 2539-2024 artfynd.xlsx", "A 2539-2024")</f>
        <v/>
      </c>
      <c r="W8">
        <f>HYPERLINK("https://klasma.github.io/Logging_1430/kartor/A 2539-2024 karta.png", "A 2539-2024")</f>
        <v/>
      </c>
      <c r="Y8">
        <f>HYPERLINK("https://klasma.github.io/Logging_1430/klagomål/A 2539-2024 FSC-klagomål.docx", "A 2539-2024")</f>
        <v/>
      </c>
      <c r="Z8">
        <f>HYPERLINK("https://klasma.github.io/Logging_1430/klagomålsmail/A 2539-2024 FSC-klagomål mail.docx", "A 2539-2024")</f>
        <v/>
      </c>
      <c r="AA8">
        <f>HYPERLINK("https://klasma.github.io/Logging_1430/tillsyn/A 2539-2024 tillsynsbegäran.docx", "A 2539-2024")</f>
        <v/>
      </c>
      <c r="AB8">
        <f>HYPERLINK("https://klasma.github.io/Logging_1430/tillsynsmail/A 2539-2024 tillsynsbegäran mail.docx", "A 2539-2024")</f>
        <v/>
      </c>
      <c r="AC8">
        <f>HYPERLINK("https://klasma.github.io/Logging_1430/fåglar/A 2539-2024 prioriterade fågelarter.docx", "A 2539-2024")</f>
        <v/>
      </c>
    </row>
    <row r="9" ht="15" customHeight="1">
      <c r="A9" t="inlineStr">
        <is>
          <t>A 25957-2025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45804</v>
      </c>
      <c r="E9" s="1" t="n">
        <v>46218</v>
      </c>
      <c r="F9" t="inlineStr">
        <is>
          <t>VÄSTRA GÖTALANDS LÄN</t>
        </is>
      </c>
      <c r="G9" t="inlineStr">
        <is>
          <t>MUNKEDAL</t>
        </is>
      </c>
      <c r="I9" t="n">
        <v>10.9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Svart trolldruva
Blåsippa</t>
        </is>
      </c>
      <c r="V9">
        <f>HYPERLINK("https://klasma.github.io/Logging_1430/artfynd/A 25957-2025 artfynd.xlsx", "A 25957-2025")</f>
        <v/>
      </c>
      <c r="W9">
        <f>HYPERLINK("https://klasma.github.io/Logging_1430/kartor/A 25957-2025 karta.png", "A 25957-2025")</f>
        <v/>
      </c>
      <c r="Y9">
        <f>HYPERLINK("https://klasma.github.io/Logging_1430/klagomål/A 25957-2025 FSC-klagomål.docx", "A 25957-2025")</f>
        <v/>
      </c>
      <c r="Z9">
        <f>HYPERLINK("https://klasma.github.io/Logging_1430/klagomålsmail/A 25957-2025 FSC-klagomål mail.docx", "A 25957-2025")</f>
        <v/>
      </c>
      <c r="AA9">
        <f>HYPERLINK("https://klasma.github.io/Logging_1430/tillsyn/A 25957-2025 tillsynsbegäran.docx", "A 25957-2025")</f>
        <v/>
      </c>
      <c r="AB9">
        <f>HYPERLINK("https://klasma.github.io/Logging_1430/tillsynsmail/A 25957-2025 tillsynsbegäran mail.docx", "A 25957-2025")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46218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Dunmossa
Grön sköldmossa</t>
        </is>
      </c>
      <c r="V10">
        <f>HYPERLINK("https://klasma.github.io/Logging_1430/artfynd/A 16972-2022 artfynd.xlsx", "A 16972-2022")</f>
        <v/>
      </c>
      <c r="W10">
        <f>HYPERLINK("https://klasma.github.io/Logging_1430/kartor/A 16972-2022 karta.png", "A 16972-2022")</f>
        <v/>
      </c>
      <c r="Y10">
        <f>HYPERLINK("https://klasma.github.io/Logging_1430/klagomål/A 16972-2022 FSC-klagomål.docx", "A 16972-2022")</f>
        <v/>
      </c>
      <c r="Z10">
        <f>HYPERLINK("https://klasma.github.io/Logging_1430/klagomålsmail/A 16972-2022 FSC-klagomål mail.docx", "A 16972-2022")</f>
        <v/>
      </c>
      <c r="AA10">
        <f>HYPERLINK("https://klasma.github.io/Logging_1430/tillsyn/A 16972-2022 tillsynsbegäran.docx", "A 16972-2022")</f>
        <v/>
      </c>
      <c r="AB10">
        <f>HYPERLINK("https://klasma.github.io/Logging_1430/tillsynsmail/A 16972-2022 tillsynsbegäran mail.docx", "A 16972-2022")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46218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Svinrot
Fläcknycklar</t>
        </is>
      </c>
      <c r="V11">
        <f>HYPERLINK("https://klasma.github.io/Logging_1430/artfynd/A 56578-2025 artfynd.xlsx", "A 56578-2025")</f>
        <v/>
      </c>
      <c r="W11">
        <f>HYPERLINK("https://klasma.github.io/Logging_1430/kartor/A 56578-2025 karta.png", "A 56578-2025")</f>
        <v/>
      </c>
      <c r="Y11">
        <f>HYPERLINK("https://klasma.github.io/Logging_1430/klagomål/A 56578-2025 FSC-klagomål.docx", "A 56578-2025")</f>
        <v/>
      </c>
      <c r="Z11">
        <f>HYPERLINK("https://klasma.github.io/Logging_1430/klagomålsmail/A 56578-2025 FSC-klagomål mail.docx", "A 56578-2025")</f>
        <v/>
      </c>
      <c r="AA11">
        <f>HYPERLINK("https://klasma.github.io/Logging_1430/tillsyn/A 56578-2025 tillsynsbegäran.docx", "A 56578-2025")</f>
        <v/>
      </c>
      <c r="AB11">
        <f>HYPERLINK("https://klasma.github.io/Logging_1430/tillsynsmail/A 56578-2025 tillsynsbegäran mail.docx", "A 56578-2025")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46218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s="2" t="inlineStr">
        <is>
          <t>Slåttergubbe
Svinrot</t>
        </is>
      </c>
      <c r="V12">
        <f>HYPERLINK("https://klasma.github.io/Logging_1430/artfynd/A 2562-2025 artfynd.xlsx", "A 2562-2025")</f>
        <v/>
      </c>
      <c r="W12">
        <f>HYPERLINK("https://klasma.github.io/Logging_1430/kartor/A 2562-2025 karta.png", "A 2562-2025")</f>
        <v/>
      </c>
      <c r="Y12">
        <f>HYPERLINK("https://klasma.github.io/Logging_1430/klagomål/A 2562-2025 FSC-klagomål.docx", "A 2562-2025")</f>
        <v/>
      </c>
      <c r="Z12">
        <f>HYPERLINK("https://klasma.github.io/Logging_1430/klagomålsmail/A 2562-2025 FSC-klagomål mail.docx", "A 2562-2025")</f>
        <v/>
      </c>
      <c r="AA12">
        <f>HYPERLINK("https://klasma.github.io/Logging_1430/tillsyn/A 2562-2025 tillsynsbegäran.docx", "A 2562-2025")</f>
        <v/>
      </c>
      <c r="AB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46218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46218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46218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46218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46218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Stor revmossa</t>
        </is>
      </c>
      <c r="V17">
        <f>HYPERLINK("https://klasma.github.io/Logging_1430/artfynd/A 58890-2022 artfynd.xlsx", "A 58890-2022")</f>
        <v/>
      </c>
      <c r="W17">
        <f>HYPERLINK("https://klasma.github.io/Logging_1430/kartor/A 58890-2022 karta.png", "A 58890-2022")</f>
        <v/>
      </c>
      <c r="Y17">
        <f>HYPERLINK("https://klasma.github.io/Logging_1430/klagomål/A 58890-2022 FSC-klagomål.docx", "A 58890-2022")</f>
        <v/>
      </c>
      <c r="Z17">
        <f>HYPERLINK("https://klasma.github.io/Logging_1430/klagomålsmail/A 58890-2022 FSC-klagomål mail.docx", "A 58890-2022")</f>
        <v/>
      </c>
      <c r="AA17">
        <f>HYPERLINK("https://klasma.github.io/Logging_1430/tillsyn/A 58890-2022 tillsynsbegäran.docx", "A 58890-2022")</f>
        <v/>
      </c>
      <c r="AB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46218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HYPERLINK("https://klasma.github.io/Logging_1430/artfynd/A 45160-2024 artfynd.xlsx", "A 45160-2024")</f>
        <v/>
      </c>
      <c r="W18">
        <f>HYPERLINK("https://klasma.github.io/Logging_1430/kartor/A 45160-2024 karta.png", "A 45160-2024")</f>
        <v/>
      </c>
      <c r="Y18">
        <f>HYPERLINK("https://klasma.github.io/Logging_1430/klagomål/A 45160-2024 FSC-klagomål.docx", "A 45160-2024")</f>
        <v/>
      </c>
      <c r="Z18">
        <f>HYPERLINK("https://klasma.github.io/Logging_1430/klagomålsmail/A 45160-2024 FSC-klagomål mail.docx", "A 45160-2024")</f>
        <v/>
      </c>
      <c r="AA18">
        <f>HYPERLINK("https://klasma.github.io/Logging_1430/tillsyn/A 45160-2024 tillsynsbegäran.docx", "A 45160-2024")</f>
        <v/>
      </c>
      <c r="AB18">
        <f>HYPERLINK("https://klasma.github.io/Logging_1430/tillsynsmail/A 45160-2024 tillsynsbegäran mail.docx", "A 45160-2024")</f>
        <v/>
      </c>
      <c r="AC18">
        <f>HYPERLINK("https://klasma.github.io/Logging_1430/fåglar/A 45160-2024 prioriterade fågelarter.docx", "A 45160-2024")</f>
        <v/>
      </c>
    </row>
    <row r="19" ht="15" customHeight="1">
      <c r="A19" t="inlineStr">
        <is>
          <t>A 20258-2022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46218</v>
      </c>
      <c r="F19" t="inlineStr">
        <is>
          <t>VÄSTRA GÖTALANDS LÄN</t>
        </is>
      </c>
      <c r="G19" t="inlineStr">
        <is>
          <t>MUNKEDAL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Honungsvaxing</t>
        </is>
      </c>
      <c r="V19">
        <f>HYPERLINK("https://klasma.github.io/Logging_1430/artfynd/A 20258-2022 artfynd.xlsx", "A 20258-2022")</f>
        <v/>
      </c>
      <c r="W19">
        <f>HYPERLINK("https://klasma.github.io/Logging_1430/kartor/A 20258-2022 karta.png", "A 20258-2022")</f>
        <v/>
      </c>
      <c r="Y19">
        <f>HYPERLINK("https://klasma.github.io/Logging_1430/klagomål/A 20258-2022 FSC-klagomål.docx", "A 20258-2022")</f>
        <v/>
      </c>
      <c r="Z19">
        <f>HYPERLINK("https://klasma.github.io/Logging_1430/klagomålsmail/A 20258-2022 FSC-klagomål mail.docx", "A 20258-2022")</f>
        <v/>
      </c>
      <c r="AA19">
        <f>HYPERLINK("https://klasma.github.io/Logging_1430/tillsyn/A 20258-2022 tillsynsbegäran.docx", "A 20258-2022")</f>
        <v/>
      </c>
      <c r="AB19">
        <f>HYPERLINK("https://klasma.github.io/Logging_1430/tillsynsmail/A 20258-2022 tillsynsbegäran mail.docx", "A 20258-2022")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46218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Spillkråka</t>
        </is>
      </c>
      <c r="V20">
        <f>HYPERLINK("https://klasma.github.io/Logging_1430/artfynd/A 9934-2023 artfynd.xlsx", "A 9934-2023")</f>
        <v/>
      </c>
      <c r="W20">
        <f>HYPERLINK("https://klasma.github.io/Logging_1430/kartor/A 9934-2023 karta.png", "A 9934-2023")</f>
        <v/>
      </c>
      <c r="Y20">
        <f>HYPERLINK("https://klasma.github.io/Logging_1430/klagomål/A 9934-2023 FSC-klagomål.docx", "A 9934-2023")</f>
        <v/>
      </c>
      <c r="Z20">
        <f>HYPERLINK("https://klasma.github.io/Logging_1430/klagomålsmail/A 9934-2023 FSC-klagomål mail.docx", "A 9934-2023")</f>
        <v/>
      </c>
      <c r="AA20">
        <f>HYPERLINK("https://klasma.github.io/Logging_1430/tillsyn/A 9934-2023 tillsynsbegäran.docx", "A 9934-2023")</f>
        <v/>
      </c>
      <c r="AB20">
        <f>HYPERLINK("https://klasma.github.io/Logging_1430/tillsynsmail/A 9934-2023 tillsynsbegäran mail.docx", "A 9934-2023")</f>
        <v/>
      </c>
      <c r="AC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46218</v>
      </c>
      <c r="F21" t="inlineStr">
        <is>
          <t>VÄSTRA GÖTALANDS LÄN</t>
        </is>
      </c>
      <c r="G21" t="inlineStr">
        <is>
          <t>MUNKEDAL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Svart trolldruva</t>
        </is>
      </c>
      <c r="V21">
        <f>HYPERLINK("https://klasma.github.io/Logging_1430/artfynd/A 2555-2023 artfynd.xlsx", "A 2555-2023")</f>
        <v/>
      </c>
      <c r="W21">
        <f>HYPERLINK("https://klasma.github.io/Logging_1430/kartor/A 2555-2023 karta.png", "A 2555-2023")</f>
        <v/>
      </c>
      <c r="Y21">
        <f>HYPERLINK("https://klasma.github.io/Logging_1430/klagomål/A 2555-2023 FSC-klagomål.docx", "A 2555-2023")</f>
        <v/>
      </c>
      <c r="Z21">
        <f>HYPERLINK("https://klasma.github.io/Logging_1430/klagomålsmail/A 2555-2023 FSC-klagomål mail.docx", "A 2555-2023")</f>
        <v/>
      </c>
      <c r="AA21">
        <f>HYPERLINK("https://klasma.github.io/Logging_1430/tillsyn/A 2555-2023 tillsynsbegäran.docx", "A 2555-2023")</f>
        <v/>
      </c>
      <c r="AB21">
        <f>HYPERLINK("https://klasma.github.io/Logging_1430/tillsynsmail/A 2555-2023 tillsynsbegäran mail.docx", "A 2555-2023")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46218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Trollsmultron</t>
        </is>
      </c>
      <c r="V22">
        <f>HYPERLINK("https://klasma.github.io/Logging_1430/artfynd/A 62525-2021 artfynd.xlsx", "A 62525-2021")</f>
        <v/>
      </c>
      <c r="W22">
        <f>HYPERLINK("https://klasma.github.io/Logging_1430/kartor/A 62525-2021 karta.png", "A 62525-2021")</f>
        <v/>
      </c>
      <c r="Y22">
        <f>HYPERLINK("https://klasma.github.io/Logging_1430/klagomål/A 62525-2021 FSC-klagomål.docx", "A 62525-2021")</f>
        <v/>
      </c>
      <c r="Z22">
        <f>HYPERLINK("https://klasma.github.io/Logging_1430/klagomålsmail/A 62525-2021 FSC-klagomål mail.docx", "A 62525-2021")</f>
        <v/>
      </c>
      <c r="AA22">
        <f>HYPERLINK("https://klasma.github.io/Logging_1430/tillsyn/A 62525-2021 tillsynsbegäran.docx", "A 62525-2021")</f>
        <v/>
      </c>
      <c r="AB22">
        <f>HYPERLINK("https://klasma.github.io/Logging_1430/tillsynsmail/A 62525-2021 tillsynsbegäran mail.docx", "A 62525-2021")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46218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Vanlig padda</t>
        </is>
      </c>
      <c r="V23">
        <f>HYPERLINK("https://klasma.github.io/Logging_1430/artfynd/A 16618-2022 artfynd.xlsx", "A 16618-2022")</f>
        <v/>
      </c>
      <c r="W23">
        <f>HYPERLINK("https://klasma.github.io/Logging_1430/kartor/A 16618-2022 karta.png", "A 16618-2022")</f>
        <v/>
      </c>
      <c r="Y23">
        <f>HYPERLINK("https://klasma.github.io/Logging_1430/klagomål/A 16618-2022 FSC-klagomål.docx", "A 16618-2022")</f>
        <v/>
      </c>
      <c r="Z23">
        <f>HYPERLINK("https://klasma.github.io/Logging_1430/klagomålsmail/A 16618-2022 FSC-klagomål mail.docx", "A 16618-2022")</f>
        <v/>
      </c>
      <c r="AA23">
        <f>HYPERLINK("https://klasma.github.io/Logging_1430/tillsyn/A 16618-2022 tillsynsbegäran.docx", "A 16618-2022")</f>
        <v/>
      </c>
      <c r="AB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46218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HYPERLINK("https://klasma.github.io/Logging_1430/artfynd/A 51398-2025 artfynd.xlsx", "A 51398-2025")</f>
        <v/>
      </c>
      <c r="W24">
        <f>HYPERLINK("https://klasma.github.io/Logging_1430/kartor/A 51398-2025 karta.png", "A 51398-2025")</f>
        <v/>
      </c>
      <c r="Y24">
        <f>HYPERLINK("https://klasma.github.io/Logging_1430/klagomål/A 51398-2025 FSC-klagomål.docx", "A 51398-2025")</f>
        <v/>
      </c>
      <c r="Z24">
        <f>HYPERLINK("https://klasma.github.io/Logging_1430/klagomålsmail/A 51398-2025 FSC-klagomål mail.docx", "A 51398-2025")</f>
        <v/>
      </c>
      <c r="AA24">
        <f>HYPERLINK("https://klasma.github.io/Logging_1430/tillsyn/A 51398-2025 tillsynsbegäran.docx", "A 51398-2025")</f>
        <v/>
      </c>
      <c r="AB24">
        <f>HYPERLINK("https://klasma.github.io/Logging_1430/tillsynsmail/A 51398-2025 tillsynsbegäran mail.docx", "A 51398-2025")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46218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HYPERLINK("https://klasma.github.io/Logging_1430/artfynd/A 37035-2024 artfynd.xlsx", "A 37035-2024")</f>
        <v/>
      </c>
      <c r="W25">
        <f>HYPERLINK("https://klasma.github.io/Logging_1430/kartor/A 37035-2024 karta.png", "A 37035-2024")</f>
        <v/>
      </c>
      <c r="Y25">
        <f>HYPERLINK("https://klasma.github.io/Logging_1430/klagomål/A 37035-2024 FSC-klagomål.docx", "A 37035-2024")</f>
        <v/>
      </c>
      <c r="Z25">
        <f>HYPERLINK("https://klasma.github.io/Logging_1430/klagomålsmail/A 37035-2024 FSC-klagomål mail.docx", "A 37035-2024")</f>
        <v/>
      </c>
      <c r="AA25">
        <f>HYPERLINK("https://klasma.github.io/Logging_1430/tillsyn/A 37035-2024 tillsynsbegäran.docx", "A 37035-2024")</f>
        <v/>
      </c>
      <c r="AB25">
        <f>HYPERLINK("https://klasma.github.io/Logging_1430/tillsynsmail/A 37035-2024 tillsynsbegäran mail.docx", "A 37035-2024")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46218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Jaktfalk</t>
        </is>
      </c>
      <c r="V26">
        <f>HYPERLINK("https://klasma.github.io/Logging_1430/artfynd/A 36912-2023 artfynd.xlsx", "A 36912-2023")</f>
        <v/>
      </c>
      <c r="W26">
        <f>HYPERLINK("https://klasma.github.io/Logging_1430/kartor/A 36912-2023 karta.png", "A 36912-2023")</f>
        <v/>
      </c>
      <c r="Y26">
        <f>HYPERLINK("https://klasma.github.io/Logging_1430/klagomål/A 36912-2023 FSC-klagomål.docx", "A 36912-2023")</f>
        <v/>
      </c>
      <c r="Z26">
        <f>HYPERLINK("https://klasma.github.io/Logging_1430/klagomålsmail/A 36912-2023 FSC-klagomål mail.docx", "A 36912-2023")</f>
        <v/>
      </c>
      <c r="AA26">
        <f>HYPERLINK("https://klasma.github.io/Logging_1430/tillsyn/A 36912-2023 tillsynsbegäran.docx", "A 36912-2023")</f>
        <v/>
      </c>
      <c r="AB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46218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HYPERLINK("https://klasma.github.io/Logging_1430/artfynd/A 1647-2025 artfynd.xlsx", "A 1647-2025")</f>
        <v/>
      </c>
      <c r="W27">
        <f>HYPERLINK("https://klasma.github.io/Logging_1430/kartor/A 1647-2025 karta.png", "A 1647-2025")</f>
        <v/>
      </c>
      <c r="Y27">
        <f>HYPERLINK("https://klasma.github.io/Logging_1430/klagomål/A 1647-2025 FSC-klagomål.docx", "A 1647-2025")</f>
        <v/>
      </c>
      <c r="Z27">
        <f>HYPERLINK("https://klasma.github.io/Logging_1430/klagomålsmail/A 1647-2025 FSC-klagomål mail.docx", "A 1647-2025")</f>
        <v/>
      </c>
      <c r="AA27">
        <f>HYPERLINK("https://klasma.github.io/Logging_1430/tillsyn/A 1647-2025 tillsynsbegäran.docx", "A 1647-2025")</f>
        <v/>
      </c>
      <c r="AB27">
        <f>HYPERLINK("https://klasma.github.io/Logging_1430/tillsynsmail/A 1647-2025 tillsynsbegäran mail.docx", "A 1647-2025")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46218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Krusfrö</t>
        </is>
      </c>
      <c r="V28">
        <f>HYPERLINK("https://klasma.github.io/Logging_1430/artfynd/A 2887-2025 artfynd.xlsx", "A 2887-2025")</f>
        <v/>
      </c>
      <c r="W28">
        <f>HYPERLINK("https://klasma.github.io/Logging_1430/kartor/A 2887-2025 karta.png", "A 2887-2025")</f>
        <v/>
      </c>
      <c r="Y28">
        <f>HYPERLINK("https://klasma.github.io/Logging_1430/klagomål/A 2887-2025 FSC-klagomål.docx", "A 2887-2025")</f>
        <v/>
      </c>
      <c r="Z28">
        <f>HYPERLINK("https://klasma.github.io/Logging_1430/klagomålsmail/A 2887-2025 FSC-klagomål mail.docx", "A 2887-2025")</f>
        <v/>
      </c>
      <c r="AA28">
        <f>HYPERLINK("https://klasma.github.io/Logging_1430/tillsyn/A 2887-2025 tillsynsbegäran.docx", "A 2887-2025")</f>
        <v/>
      </c>
      <c r="AB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46218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Y29">
        <f>HYPERLINK("https://klasma.github.io/Logging_1430/klagomål/A 23065-2026 FSC-klagomål.docx", "A 23065-2026")</f>
        <v/>
      </c>
      <c r="Z29">
        <f>HYPERLINK("https://klasma.github.io/Logging_1430/klagomålsmail/A 23065-2026 FSC-klagomål mail.docx", "A 23065-2026")</f>
        <v/>
      </c>
      <c r="AA29">
        <f>HYPERLINK("https://klasma.github.io/Logging_1430/tillsyn/A 23065-2026 tillsynsbegäran.docx", "A 23065-2026")</f>
        <v/>
      </c>
      <c r="AB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46218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HYPERLINK("https://klasma.github.io/Logging_1430/artfynd/A 22963-2026 artfynd.xlsx", "A 22963-2026")</f>
        <v/>
      </c>
      <c r="W30">
        <f>HYPERLINK("https://klasma.github.io/Logging_1430/kartor/A 22963-2026 karta.png", "A 22963-2026")</f>
        <v/>
      </c>
      <c r="Y30">
        <f>HYPERLINK("https://klasma.github.io/Logging_1430/klagomål/A 22963-2026 FSC-klagomål.docx", "A 22963-2026")</f>
        <v/>
      </c>
      <c r="Z30">
        <f>HYPERLINK("https://klasma.github.io/Logging_1430/klagomålsmail/A 22963-2026 FSC-klagomål mail.docx", "A 22963-2026")</f>
        <v/>
      </c>
      <c r="AA30">
        <f>HYPERLINK("https://klasma.github.io/Logging_1430/tillsyn/A 22963-2026 tillsynsbegäran.docx", "A 22963-2026")</f>
        <v/>
      </c>
      <c r="AB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46218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HYPERLINK("https://klasma.github.io/Logging_1430/artfynd/A 45083-2024 artfynd.xlsx", "A 45083-2024")</f>
        <v/>
      </c>
      <c r="W31">
        <f>HYPERLINK("https://klasma.github.io/Logging_1430/kartor/A 45083-2024 karta.png", "A 45083-2024")</f>
        <v/>
      </c>
      <c r="Y31">
        <f>HYPERLINK("https://klasma.github.io/Logging_1430/klagomål/A 45083-2024 FSC-klagomål.docx", "A 45083-2024")</f>
        <v/>
      </c>
      <c r="Z31">
        <f>HYPERLINK("https://klasma.github.io/Logging_1430/klagomålsmail/A 45083-2024 FSC-klagomål mail.docx", "A 45083-2024")</f>
        <v/>
      </c>
      <c r="AA31">
        <f>HYPERLINK("https://klasma.github.io/Logging_1430/tillsyn/A 45083-2024 tillsynsbegäran.docx", "A 45083-2024")</f>
        <v/>
      </c>
      <c r="AB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46218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46218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46218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46218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46218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46218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46218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46218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46218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46218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46218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46218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46218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46218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46218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46218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46218</v>
      </c>
      <c r="F48" t="inlineStr">
        <is>
          <t>VÄSTRA GÖTALANDS LÄN</t>
        </is>
      </c>
      <c r="G48" t="inlineStr">
        <is>
          <t>MUNKEDAL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39441-2021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44414</v>
      </c>
      <c r="E49" s="1" t="n">
        <v>46218</v>
      </c>
      <c r="F49" t="inlineStr">
        <is>
          <t>VÄSTRA GÖTALANDS LÄN</t>
        </is>
      </c>
      <c r="G49" t="inlineStr">
        <is>
          <t>MUNKEDAL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46218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46218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46218</v>
      </c>
      <c r="F52" t="inlineStr">
        <is>
          <t>VÄSTRA GÖTALANDS LÄN</t>
        </is>
      </c>
      <c r="G52" t="inlineStr">
        <is>
          <t>MUNKEDAL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11367-2022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44630</v>
      </c>
      <c r="E53" s="1" t="n">
        <v>46218</v>
      </c>
      <c r="F53" t="inlineStr">
        <is>
          <t>VÄSTRA GÖTALANDS LÄN</t>
        </is>
      </c>
      <c r="G53" t="inlineStr">
        <is>
          <t>MUNKEDAL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46218</v>
      </c>
      <c r="F54" t="inlineStr">
        <is>
          <t>VÄSTRA GÖTALANDS LÄN</t>
        </is>
      </c>
      <c r="G54" t="inlineStr">
        <is>
          <t>MUNKEDAL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45222-2021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46218</v>
      </c>
      <c r="F55" t="inlineStr">
        <is>
          <t>VÄSTRA GÖTALANDS LÄN</t>
        </is>
      </c>
      <c r="G55" t="inlineStr">
        <is>
          <t>MUNKEDAL</t>
        </is>
      </c>
      <c r="I55" t="n">
        <v>7.7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19887-2022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46218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21129-2022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46218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43360-2022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44834</v>
      </c>
      <c r="E58" s="1" t="n">
        <v>46218</v>
      </c>
      <c r="F58" t="inlineStr">
        <is>
          <t>VÄSTRA GÖTALANDS LÄN</t>
        </is>
      </c>
      <c r="G58" t="inlineStr">
        <is>
          <t>MUNKEDAL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51407-2022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44866</v>
      </c>
      <c r="E59" s="1" t="n">
        <v>46218</v>
      </c>
      <c r="F59" t="inlineStr">
        <is>
          <t>VÄSTRA GÖTALANDS LÄN</t>
        </is>
      </c>
      <c r="G59" t="inlineStr">
        <is>
          <t>MUNKEDAL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46218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46218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46218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35647-2023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45147</v>
      </c>
      <c r="E63" s="1" t="n">
        <v>46218</v>
      </c>
      <c r="F63" t="inlineStr">
        <is>
          <t>VÄSTRA GÖTALANDS LÄN</t>
        </is>
      </c>
      <c r="G63" t="inlineStr">
        <is>
          <t>MUNKEDAL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44929</v>
      </c>
      <c r="E64" s="1" t="n">
        <v>46218</v>
      </c>
      <c r="F64" t="inlineStr">
        <is>
          <t>VÄSTRA GÖTALANDS LÄN</t>
        </is>
      </c>
      <c r="G64" t="inlineStr">
        <is>
          <t>MUNKEDAL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58066-2021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46218</v>
      </c>
      <c r="F65" t="inlineStr">
        <is>
          <t>VÄSTRA GÖTALANDS LÄN</t>
        </is>
      </c>
      <c r="G65" t="inlineStr">
        <is>
          <t>MUNKEDAL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8185-2022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46218</v>
      </c>
      <c r="F66" t="inlineStr">
        <is>
          <t>VÄSTRA GÖTALANDS LÄN</t>
        </is>
      </c>
      <c r="G66" t="inlineStr">
        <is>
          <t>MUNKEDAL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3708-2024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46218</v>
      </c>
      <c r="F67" t="inlineStr">
        <is>
          <t>VÄSTRA GÖTALANDS LÄN</t>
        </is>
      </c>
      <c r="G67" t="inlineStr">
        <is>
          <t>MUNKEDAL</t>
        </is>
      </c>
      <c r="I67" t="n">
        <v>20.2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40940-2022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46218</v>
      </c>
      <c r="F68" t="inlineStr">
        <is>
          <t>VÄSTRA GÖTALANDS LÄN</t>
        </is>
      </c>
      <c r="G68" t="inlineStr">
        <is>
          <t>MUNKEDAL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49574-2024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46218</v>
      </c>
      <c r="F69" t="inlineStr">
        <is>
          <t>VÄSTRA GÖTALANDS LÄN</t>
        </is>
      </c>
      <c r="G69" t="inlineStr">
        <is>
          <t>MUNKEDAL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49576-2024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45596</v>
      </c>
      <c r="E70" s="1" t="n">
        <v>46218</v>
      </c>
      <c r="F70" t="inlineStr">
        <is>
          <t>VÄSTRA GÖTALANDS LÄN</t>
        </is>
      </c>
      <c r="G70" t="inlineStr">
        <is>
          <t>MUNKEDAL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24073-2024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46218</v>
      </c>
      <c r="F71" t="inlineStr">
        <is>
          <t>VÄSTRA GÖTALANDS LÄN</t>
        </is>
      </c>
      <c r="G71" t="inlineStr">
        <is>
          <t>MUNKEDAL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64879-2023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45282</v>
      </c>
      <c r="E72" s="1" t="n">
        <v>46218</v>
      </c>
      <c r="F72" t="inlineStr">
        <is>
          <t>VÄSTRA GÖTALANDS LÄN</t>
        </is>
      </c>
      <c r="G72" t="inlineStr">
        <is>
          <t>MUNKEDAL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50650-2021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44459</v>
      </c>
      <c r="E73" s="1" t="n">
        <v>46218</v>
      </c>
      <c r="F73" t="inlineStr">
        <is>
          <t>VÄSTRA GÖTALANDS LÄN</t>
        </is>
      </c>
      <c r="G73" t="inlineStr">
        <is>
          <t>MUNKEDAL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13661-2025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46218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29956-2024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45488</v>
      </c>
      <c r="E75" s="1" t="n">
        <v>46218</v>
      </c>
      <c r="F75" t="inlineStr">
        <is>
          <t>VÄSTRA GÖTALANDS LÄN</t>
        </is>
      </c>
      <c r="G75" t="inlineStr">
        <is>
          <t>MUNKEDAL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45488</v>
      </c>
      <c r="E76" s="1" t="n">
        <v>46218</v>
      </c>
      <c r="F76" t="inlineStr">
        <is>
          <t>VÄSTRA GÖTALANDS LÄN</t>
        </is>
      </c>
      <c r="G76" t="inlineStr">
        <is>
          <t>MUNKEDAL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46218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Kommuner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47675-2023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46218</v>
      </c>
      <c r="F78" t="inlineStr">
        <is>
          <t>VÄSTRA GÖTALANDS LÄN</t>
        </is>
      </c>
      <c r="G78" t="inlineStr">
        <is>
          <t>MUNKEDAL</t>
        </is>
      </c>
      <c r="I78" t="n">
        <v>14.1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46218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Kyrkan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46218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38592-2025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46218</v>
      </c>
      <c r="F81" t="inlineStr">
        <is>
          <t>VÄSTRA GÖTALANDS LÄN</t>
        </is>
      </c>
      <c r="G81" t="inlineStr">
        <is>
          <t>MUNKEDAL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20220-2023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45055</v>
      </c>
      <c r="E82" s="1" t="n">
        <v>46218</v>
      </c>
      <c r="F82" t="inlineStr">
        <is>
          <t>VÄSTRA GÖTALANDS LÄN</t>
        </is>
      </c>
      <c r="G82" t="inlineStr">
        <is>
          <t>MUNKEDAL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21625-2023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46218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35814-2023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45148</v>
      </c>
      <c r="E84" s="1" t="n">
        <v>46218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28397-2025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46218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26076-2025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46218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38977-2025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46218</v>
      </c>
      <c r="F87" t="inlineStr">
        <is>
          <t>VÄSTRA GÖTALANDS LÄN</t>
        </is>
      </c>
      <c r="G87" t="inlineStr">
        <is>
          <t>MUNKEDAL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46218</v>
      </c>
      <c r="F88" t="inlineStr">
        <is>
          <t>VÄSTRA GÖTALANDS LÄN</t>
        </is>
      </c>
      <c r="G88" t="inlineStr">
        <is>
          <t>MUNKEDAL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46218</v>
      </c>
      <c r="F89" t="inlineStr">
        <is>
          <t>VÄSTRA GÖTALANDS LÄN</t>
        </is>
      </c>
      <c r="G89" t="inlineStr">
        <is>
          <t>MUNKEDAL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60227-2024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45640</v>
      </c>
      <c r="E90" s="1" t="n">
        <v>46218</v>
      </c>
      <c r="F90" t="inlineStr">
        <is>
          <t>VÄSTRA GÖTALANDS LÄN</t>
        </is>
      </c>
      <c r="G90" t="inlineStr">
        <is>
          <t>MUNKEDAL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46218</v>
      </c>
      <c r="F91" t="inlineStr">
        <is>
          <t>VÄSTRA GÖTALANDS LÄN</t>
        </is>
      </c>
      <c r="G91" t="inlineStr">
        <is>
          <t>MUNKEDAL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46218</v>
      </c>
      <c r="F92" t="inlineStr">
        <is>
          <t>VÄSTRA GÖTALANDS LÄN</t>
        </is>
      </c>
      <c r="G92" t="inlineStr">
        <is>
          <t>MUNKEDAL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45097</v>
      </c>
      <c r="E93" s="1" t="n">
        <v>46218</v>
      </c>
      <c r="F93" t="inlineStr">
        <is>
          <t>VÄSTRA GÖTALANDS LÄN</t>
        </is>
      </c>
      <c r="G93" t="inlineStr">
        <is>
          <t>MUNKEDAL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46218</v>
      </c>
      <c r="F94" t="inlineStr">
        <is>
          <t>VÄSTRA GÖTALANDS LÄN</t>
        </is>
      </c>
      <c r="G94" t="inlineStr">
        <is>
          <t>MUNKEDAL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46218</v>
      </c>
      <c r="F95" t="inlineStr">
        <is>
          <t>VÄSTRA GÖTALANDS LÄN</t>
        </is>
      </c>
      <c r="G95" t="inlineStr">
        <is>
          <t>MUNKEDAL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22857-2022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44715</v>
      </c>
      <c r="E96" s="1" t="n">
        <v>46218</v>
      </c>
      <c r="F96" t="inlineStr">
        <is>
          <t>VÄSTRA GÖTALANDS LÄN</t>
        </is>
      </c>
      <c r="G96" t="inlineStr">
        <is>
          <t>MUNKEDAL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56789-2021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44481</v>
      </c>
      <c r="E97" s="1" t="n">
        <v>46218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15555-2024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45401</v>
      </c>
      <c r="E98" s="1" t="n">
        <v>46218</v>
      </c>
      <c r="F98" t="inlineStr">
        <is>
          <t>VÄSTRA GÖTALANDS LÄN</t>
        </is>
      </c>
      <c r="G98" t="inlineStr">
        <is>
          <t>MUNKEDAL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55183-2024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45620</v>
      </c>
      <c r="E99" s="1" t="n">
        <v>46218</v>
      </c>
      <c r="F99" t="inlineStr">
        <is>
          <t>VÄSTRA GÖTALANDS LÄN</t>
        </is>
      </c>
      <c r="G99" t="inlineStr">
        <is>
          <t>MUNKEDAL</t>
        </is>
      </c>
      <c r="I99" t="n">
        <v>8.699999999999999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60228-2024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45640</v>
      </c>
      <c r="E100" s="1" t="n">
        <v>46218</v>
      </c>
      <c r="F100" t="inlineStr">
        <is>
          <t>VÄSTRA GÖTALANDS LÄN</t>
        </is>
      </c>
      <c r="G100" t="inlineStr">
        <is>
          <t>MUNKEDAL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46218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11268-2024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46218</v>
      </c>
      <c r="F102" t="inlineStr">
        <is>
          <t>VÄSTRA GÖTALANDS LÄN</t>
        </is>
      </c>
      <c r="G102" t="inlineStr">
        <is>
          <t>MUNKEDAL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46218</v>
      </c>
      <c r="F103" t="inlineStr">
        <is>
          <t>VÄSTRA GÖTALANDS LÄN</t>
        </is>
      </c>
      <c r="G103" t="inlineStr">
        <is>
          <t>MUNKEDAL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41813-2025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46218</v>
      </c>
      <c r="F104" t="inlineStr">
        <is>
          <t>VÄSTRA GÖTALANDS LÄN</t>
        </is>
      </c>
      <c r="G104" t="inlineStr">
        <is>
          <t>MUNKEDAL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50038-2023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46218</v>
      </c>
      <c r="F105" t="inlineStr">
        <is>
          <t>VÄSTRA GÖTALANDS LÄN</t>
        </is>
      </c>
      <c r="G105" t="inlineStr">
        <is>
          <t>MUNKEDAL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30555-2023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46218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46218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53888-2023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46218</v>
      </c>
      <c r="F108" t="inlineStr">
        <is>
          <t>VÄSTRA GÖTALANDS LÄN</t>
        </is>
      </c>
      <c r="G108" t="inlineStr">
        <is>
          <t>MUNKEDAL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43154-2025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46218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42836-2025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46218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46218</v>
      </c>
      <c r="F111" t="inlineStr">
        <is>
          <t>VÄSTRA GÖTALANDS LÄN</t>
        </is>
      </c>
      <c r="G111" t="inlineStr">
        <is>
          <t>MUNKEDAL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46218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34222-2023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45138</v>
      </c>
      <c r="E113" s="1" t="n">
        <v>46218</v>
      </c>
      <c r="F113" t="inlineStr">
        <is>
          <t>VÄSTRA GÖTALANDS LÄN</t>
        </is>
      </c>
      <c r="G113" t="inlineStr">
        <is>
          <t>MUNKEDAL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46218</v>
      </c>
      <c r="F114" t="inlineStr">
        <is>
          <t>VÄSTRA GÖTALANDS LÄN</t>
        </is>
      </c>
      <c r="G114" t="inlineStr">
        <is>
          <t>MUNKEDAL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59257-2024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46218</v>
      </c>
      <c r="F115" t="inlineStr">
        <is>
          <t>VÄSTRA GÖTALANDS LÄN</t>
        </is>
      </c>
      <c r="G115" t="inlineStr">
        <is>
          <t>MUNKEDAL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28995-2022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44749</v>
      </c>
      <c r="E116" s="1" t="n">
        <v>46218</v>
      </c>
      <c r="F116" t="inlineStr">
        <is>
          <t>VÄSTRA GÖTALANDS LÄN</t>
        </is>
      </c>
      <c r="G116" t="inlineStr">
        <is>
          <t>MUNKEDAL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67233-2021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46218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49912-2023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45214</v>
      </c>
      <c r="E118" s="1" t="n">
        <v>46218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44747</v>
      </c>
      <c r="E119" s="1" t="n">
        <v>46218</v>
      </c>
      <c r="F119" t="inlineStr">
        <is>
          <t>VÄSTRA GÖTALANDS LÄN</t>
        </is>
      </c>
      <c r="G119" t="inlineStr">
        <is>
          <t>MUNKEDAL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24185-2023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45076</v>
      </c>
      <c r="E120" s="1" t="n">
        <v>46218</v>
      </c>
      <c r="F120" t="inlineStr">
        <is>
          <t>VÄSTRA GÖTALANDS LÄN</t>
        </is>
      </c>
      <c r="G120" t="inlineStr">
        <is>
          <t>MUNKEDAL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43446-2025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46218</v>
      </c>
      <c r="F121" t="inlineStr">
        <is>
          <t>VÄSTRA GÖTALANDS LÄN</t>
        </is>
      </c>
      <c r="G121" t="inlineStr">
        <is>
          <t>MUNKEDAL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43834-2025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46218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53891-2023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46218</v>
      </c>
      <c r="F123" t="inlineStr">
        <is>
          <t>VÄSTRA GÖTALANDS LÄN</t>
        </is>
      </c>
      <c r="G123" t="inlineStr">
        <is>
          <t>MUNKEDAL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44453-2025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46218</v>
      </c>
      <c r="F124" t="inlineStr">
        <is>
          <t>VÄSTRA GÖTALANDS LÄN</t>
        </is>
      </c>
      <c r="G124" t="inlineStr">
        <is>
          <t>MUNKEDAL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28678-2024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46218</v>
      </c>
      <c r="F125" t="inlineStr">
        <is>
          <t>VÄSTRA GÖTALANDS LÄN</t>
        </is>
      </c>
      <c r="G125" t="inlineStr">
        <is>
          <t>MUNKEDAL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46218</v>
      </c>
      <c r="F126" t="inlineStr">
        <is>
          <t>VÄSTRA GÖTALANDS LÄN</t>
        </is>
      </c>
      <c r="G126" t="inlineStr">
        <is>
          <t>MUNKEDAL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13658-2025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46218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45165-2024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46218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Naturvårdsverket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45488</v>
      </c>
      <c r="E129" s="1" t="n">
        <v>46218</v>
      </c>
      <c r="F129" t="inlineStr">
        <is>
          <t>VÄSTRA GÖTALANDS LÄN</t>
        </is>
      </c>
      <c r="G129" t="inlineStr">
        <is>
          <t>MUNKEDAL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54001-2023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46218</v>
      </c>
      <c r="F130" t="inlineStr">
        <is>
          <t>VÄSTRA GÖTALANDS LÄN</t>
        </is>
      </c>
      <c r="G130" t="inlineStr">
        <is>
          <t>MUNKEDAL</t>
        </is>
      </c>
      <c r="I130" t="n">
        <v>8.699999999999999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45486-2025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45921</v>
      </c>
      <c r="E131" s="1" t="n">
        <v>46218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28667-2022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46218</v>
      </c>
      <c r="F132" t="inlineStr">
        <is>
          <t>VÄSTRA GÖTALANDS LÄN</t>
        </is>
      </c>
      <c r="G132" t="inlineStr">
        <is>
          <t>MUNKEDAL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56892-2023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46218</v>
      </c>
      <c r="F133" t="inlineStr">
        <is>
          <t>VÄSTRA GÖTALANDS LÄN</t>
        </is>
      </c>
      <c r="G133" t="inlineStr">
        <is>
          <t>MUNKEDAL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45684</v>
      </c>
      <c r="E134" s="1" t="n">
        <v>46218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Kommuner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18159-2025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46218</v>
      </c>
      <c r="F135" t="inlineStr">
        <is>
          <t>VÄSTRA GÖTALANDS LÄN</t>
        </is>
      </c>
      <c r="G135" t="inlineStr">
        <is>
          <t>MUNKEDAL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9720-2024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46218</v>
      </c>
      <c r="F136" t="inlineStr">
        <is>
          <t>VÄSTRA GÖTALANDS LÄN</t>
        </is>
      </c>
      <c r="G136" t="inlineStr">
        <is>
          <t>MUNKEDAL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31350-2022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44774</v>
      </c>
      <c r="E137" s="1" t="n">
        <v>46218</v>
      </c>
      <c r="F137" t="inlineStr">
        <is>
          <t>VÄSTRA GÖTALANDS LÄN</t>
        </is>
      </c>
      <c r="G137" t="inlineStr">
        <is>
          <t>MUNKEDAL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46218</v>
      </c>
      <c r="F138" t="inlineStr">
        <is>
          <t>VÄSTRA GÖTALANDS LÄN</t>
        </is>
      </c>
      <c r="G138" t="inlineStr">
        <is>
          <t>MUNKEDAL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15853-2023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46218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44920</v>
      </c>
      <c r="E140" s="1" t="n">
        <v>46218</v>
      </c>
      <c r="F140" t="inlineStr">
        <is>
          <t>VÄSTRA GÖTALANDS LÄN</t>
        </is>
      </c>
      <c r="G140" t="inlineStr">
        <is>
          <t>MUNKEDAL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62101-2022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44920</v>
      </c>
      <c r="E141" s="1" t="n">
        <v>46218</v>
      </c>
      <c r="F141" t="inlineStr">
        <is>
          <t>VÄSTRA GÖTALANDS LÄN</t>
        </is>
      </c>
      <c r="G141" t="inlineStr">
        <is>
          <t>MUNKEDAL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9746-2023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46218</v>
      </c>
      <c r="F142" t="inlineStr">
        <is>
          <t>VÄSTRA GÖTALANDS LÄN</t>
        </is>
      </c>
      <c r="G142" t="inlineStr">
        <is>
          <t>MUNKEDAL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36891-2023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46218</v>
      </c>
      <c r="F143" t="inlineStr">
        <is>
          <t>VÄSTRA GÖTALANDS LÄN</t>
        </is>
      </c>
      <c r="G143" t="inlineStr">
        <is>
          <t>MUNKEDAL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13162-2023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46218</v>
      </c>
      <c r="F144" t="inlineStr">
        <is>
          <t>VÄSTRA GÖTALANDS LÄN</t>
        </is>
      </c>
      <c r="G144" t="inlineStr">
        <is>
          <t>MUNKEDAL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45296</v>
      </c>
      <c r="E145" s="1" t="n">
        <v>46218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37389-2024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45540</v>
      </c>
      <c r="E146" s="1" t="n">
        <v>46218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44478-2023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46218</v>
      </c>
      <c r="F147" t="inlineStr">
        <is>
          <t>VÄSTRA GÖTALANDS LÄN</t>
        </is>
      </c>
      <c r="G147" t="inlineStr">
        <is>
          <t>MUNKEDAL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46218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45296</v>
      </c>
      <c r="E149" s="1" t="n">
        <v>46218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Kyrkan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51409-2022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44866</v>
      </c>
      <c r="E150" s="1" t="n">
        <v>46218</v>
      </c>
      <c r="F150" t="inlineStr">
        <is>
          <t>VÄSTRA GÖTALANDS LÄN</t>
        </is>
      </c>
      <c r="G150" t="inlineStr">
        <is>
          <t>MUNKEDAL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46218</v>
      </c>
      <c r="F151" t="inlineStr">
        <is>
          <t>VÄSTRA GÖTALANDS LÄN</t>
        </is>
      </c>
      <c r="G151" t="inlineStr">
        <is>
          <t>MUNKEDAL</t>
        </is>
      </c>
      <c r="I151" t="n">
        <v>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39163-2023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45166</v>
      </c>
      <c r="E152" s="1" t="n">
        <v>46218</v>
      </c>
      <c r="F152" t="inlineStr">
        <is>
          <t>VÄSTRA GÖTALANDS LÄN</t>
        </is>
      </c>
      <c r="G152" t="inlineStr">
        <is>
          <t>MUNKEDAL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57613-2024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46218</v>
      </c>
      <c r="F153" t="inlineStr">
        <is>
          <t>VÄSTRA GÖTALANDS LÄN</t>
        </is>
      </c>
      <c r="G153" t="inlineStr">
        <is>
          <t>MUNKEDAL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56744-2023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46218</v>
      </c>
      <c r="F154" t="inlineStr">
        <is>
          <t>VÄSTRA GÖTALANDS LÄN</t>
        </is>
      </c>
      <c r="G154" t="inlineStr">
        <is>
          <t>MUNKEDAL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53424-2023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46218</v>
      </c>
      <c r="F155" t="inlineStr">
        <is>
          <t>VÄSTRA GÖTALANDS LÄN</t>
        </is>
      </c>
      <c r="G155" t="inlineStr">
        <is>
          <t>MUNKEDAL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56766-2023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46218</v>
      </c>
      <c r="F156" t="inlineStr">
        <is>
          <t>VÄSTRA GÖTALANDS LÄN</t>
        </is>
      </c>
      <c r="G156" t="inlineStr">
        <is>
          <t>MUNKEDAL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59132-2022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46218</v>
      </c>
      <c r="F157" t="inlineStr">
        <is>
          <t>VÄSTRA GÖTALANDS LÄN</t>
        </is>
      </c>
      <c r="G157" t="inlineStr">
        <is>
          <t>MUNKEDAL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46218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16105-2025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45750</v>
      </c>
      <c r="E159" s="1" t="n">
        <v>46218</v>
      </c>
      <c r="F159" t="inlineStr">
        <is>
          <t>VÄSTRA GÖTALANDS LÄN</t>
        </is>
      </c>
      <c r="G159" t="inlineStr">
        <is>
          <t>MUNKEDAL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62090-2023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46218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13303-2023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45005</v>
      </c>
      <c r="E161" s="1" t="n">
        <v>46218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16621-2022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46218</v>
      </c>
      <c r="F162" t="inlineStr">
        <is>
          <t>VÄSTRA GÖTALANDS LÄN</t>
        </is>
      </c>
      <c r="G162" t="inlineStr">
        <is>
          <t>MUNKEDAL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57619-2024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46218</v>
      </c>
      <c r="F163" t="inlineStr">
        <is>
          <t>VÄSTRA GÖTALANDS LÄN</t>
        </is>
      </c>
      <c r="G163" t="inlineStr">
        <is>
          <t>MUNKEDAL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57625-2024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46218</v>
      </c>
      <c r="F164" t="inlineStr">
        <is>
          <t>VÄSTRA GÖTALANDS LÄN</t>
        </is>
      </c>
      <c r="G164" t="inlineStr">
        <is>
          <t>MUNKEDAL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57630-2024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46218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41716-2024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46218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28569-2025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46218</v>
      </c>
      <c r="F167" t="inlineStr">
        <is>
          <t>VÄSTRA GÖTALANDS LÄN</t>
        </is>
      </c>
      <c r="G167" t="inlineStr">
        <is>
          <t>MUNKEDAL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46218</v>
      </c>
      <c r="F168" t="inlineStr">
        <is>
          <t>VÄSTRA GÖTALANDS LÄN</t>
        </is>
      </c>
      <c r="G168" t="inlineStr">
        <is>
          <t>MUNKEDAL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53412-2023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46218</v>
      </c>
      <c r="F169" t="inlineStr">
        <is>
          <t>VÄSTRA GÖTALANDS LÄN</t>
        </is>
      </c>
      <c r="G169" t="inlineStr">
        <is>
          <t>MUNKEDAL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57409-2022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46218</v>
      </c>
      <c r="F170" t="inlineStr">
        <is>
          <t>VÄSTRA GÖTALANDS LÄN</t>
        </is>
      </c>
      <c r="G170" t="inlineStr">
        <is>
          <t>MUNKEDAL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47378-2021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44447</v>
      </c>
      <c r="E171" s="1" t="n">
        <v>46218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21.7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27850-2023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46218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Kyrkan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48754-2025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46218</v>
      </c>
      <c r="F173" t="inlineStr">
        <is>
          <t>VÄSTRA GÖTALANDS LÄN</t>
        </is>
      </c>
      <c r="G173" t="inlineStr">
        <is>
          <t>MUNKEDAL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24809-2023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45084</v>
      </c>
      <c r="E174" s="1" t="n">
        <v>46218</v>
      </c>
      <c r="F174" t="inlineStr">
        <is>
          <t>VÄSTRA GÖTALANDS LÄN</t>
        </is>
      </c>
      <c r="G174" t="inlineStr">
        <is>
          <t>MUNKEDAL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44436</v>
      </c>
      <c r="E175" s="1" t="n">
        <v>46218</v>
      </c>
      <c r="F175" t="inlineStr">
        <is>
          <t>VÄSTRA GÖTALANDS LÄN</t>
        </is>
      </c>
      <c r="G175" t="inlineStr">
        <is>
          <t>MUNKEDAL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49218-2022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46218</v>
      </c>
      <c r="F176" t="inlineStr">
        <is>
          <t>VÄSTRA GÖTALANDS LÄN</t>
        </is>
      </c>
      <c r="G176" t="inlineStr">
        <is>
          <t>MUNKEDAL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9021-2024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46218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11262-2024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46218</v>
      </c>
      <c r="F178" t="inlineStr">
        <is>
          <t>VÄSTRA GÖTALANDS LÄN</t>
        </is>
      </c>
      <c r="G178" t="inlineStr">
        <is>
          <t>MUNKEDAL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59171-2022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46218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Kyrkan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11812-2025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46218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Kommuner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46218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60230-2024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45640</v>
      </c>
      <c r="E182" s="1" t="n">
        <v>46218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29415-2023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46218</v>
      </c>
      <c r="F183" t="inlineStr">
        <is>
          <t>VÄSTRA GÖTALANDS LÄN</t>
        </is>
      </c>
      <c r="G183" t="inlineStr">
        <is>
          <t>MUNKEDAL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17678-2024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45418</v>
      </c>
      <c r="E184" s="1" t="n">
        <v>46218</v>
      </c>
      <c r="F184" t="inlineStr">
        <is>
          <t>VÄSTRA GÖTALANDS LÄN</t>
        </is>
      </c>
      <c r="G184" t="inlineStr">
        <is>
          <t>MUNKEDAL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49731-2025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46218</v>
      </c>
      <c r="F185" t="inlineStr">
        <is>
          <t>VÄSTRA GÖTALANDS LÄN</t>
        </is>
      </c>
      <c r="G185" t="inlineStr">
        <is>
          <t>MUNKEDAL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21125-2022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46218</v>
      </c>
      <c r="F186" t="inlineStr">
        <is>
          <t>VÄSTRA GÖTALANDS LÄN</t>
        </is>
      </c>
      <c r="G186" t="inlineStr">
        <is>
          <t>MUNKEDAL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12243-2024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46218</v>
      </c>
      <c r="F187" t="inlineStr">
        <is>
          <t>VÄSTRA GÖTALANDS LÄN</t>
        </is>
      </c>
      <c r="G187" t="inlineStr">
        <is>
          <t>MUNKEDAL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46218</v>
      </c>
      <c r="F188" t="inlineStr">
        <is>
          <t>VÄSTRA GÖTALANDS LÄN</t>
        </is>
      </c>
      <c r="G188" t="inlineStr">
        <is>
          <t>MUNKEDAL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45674</v>
      </c>
      <c r="E189" s="1" t="n">
        <v>46218</v>
      </c>
      <c r="F189" t="inlineStr">
        <is>
          <t>VÄSTRA GÖTALANDS LÄN</t>
        </is>
      </c>
      <c r="G189" t="inlineStr">
        <is>
          <t>MUNKEDAL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46218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46218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30131-2024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45489</v>
      </c>
      <c r="E192" s="1" t="n">
        <v>46218</v>
      </c>
      <c r="F192" t="inlineStr">
        <is>
          <t>VÄSTRA GÖTALANDS LÄN</t>
        </is>
      </c>
      <c r="G192" t="inlineStr">
        <is>
          <t>MUNKEDAL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32300-2023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45120</v>
      </c>
      <c r="E193" s="1" t="n">
        <v>46218</v>
      </c>
      <c r="F193" t="inlineStr">
        <is>
          <t>VÄSTRA GÖTALANDS LÄN</t>
        </is>
      </c>
      <c r="G193" t="inlineStr">
        <is>
          <t>MUNKEDAL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41521-2023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46218</v>
      </c>
      <c r="F194" t="inlineStr">
        <is>
          <t>VÄSTRA GÖTALANDS LÄN</t>
        </is>
      </c>
      <c r="G194" t="inlineStr">
        <is>
          <t>MUNKEDAL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60231-2024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45640</v>
      </c>
      <c r="E195" s="1" t="n">
        <v>46218</v>
      </c>
      <c r="F195" t="inlineStr">
        <is>
          <t>VÄSTRA GÖTALANDS LÄN</t>
        </is>
      </c>
      <c r="G195" t="inlineStr">
        <is>
          <t>MUNKEDAL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46434-2024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46218</v>
      </c>
      <c r="F196" t="inlineStr">
        <is>
          <t>VÄSTRA GÖTALANDS LÄN</t>
        </is>
      </c>
      <c r="G196" t="inlineStr">
        <is>
          <t>MUNKEDAL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61377-2023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46218</v>
      </c>
      <c r="F197" t="inlineStr">
        <is>
          <t>VÄSTRA GÖTALANDS LÄN</t>
        </is>
      </c>
      <c r="G197" t="inlineStr">
        <is>
          <t>MUNKEDAL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46218</v>
      </c>
      <c r="F198" t="inlineStr">
        <is>
          <t>VÄSTRA GÖTALANDS LÄN</t>
        </is>
      </c>
      <c r="G198" t="inlineStr">
        <is>
          <t>MUNKEDAL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912-2025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46218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18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11425-2022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46218</v>
      </c>
      <c r="F200" t="inlineStr">
        <is>
          <t>VÄSTRA GÖTALANDS LÄN</t>
        </is>
      </c>
      <c r="G200" t="inlineStr">
        <is>
          <t>MUNKEDAL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45296</v>
      </c>
      <c r="E201" s="1" t="n">
        <v>46218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21086-2025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46218</v>
      </c>
      <c r="F202" t="inlineStr">
        <is>
          <t>VÄSTRA GÖTALANDS LÄN</t>
        </is>
      </c>
      <c r="G202" t="inlineStr">
        <is>
          <t>MUNKEDAL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53255-2024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45614</v>
      </c>
      <c r="E203" s="1" t="n">
        <v>46218</v>
      </c>
      <c r="F203" t="inlineStr">
        <is>
          <t>VÄSTRA GÖTALANDS LÄN</t>
        </is>
      </c>
      <c r="G203" t="inlineStr">
        <is>
          <t>MUNKEDAL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45469-2023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46218</v>
      </c>
      <c r="F204" t="inlineStr">
        <is>
          <t>VÄSTRA GÖTALANDS LÄN</t>
        </is>
      </c>
      <c r="G204" t="inlineStr">
        <is>
          <t>MUNKEDAL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21063-2025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45777</v>
      </c>
      <c r="E205" s="1" t="n">
        <v>46218</v>
      </c>
      <c r="F205" t="inlineStr">
        <is>
          <t>VÄSTRA GÖTALANDS LÄN</t>
        </is>
      </c>
      <c r="G205" t="inlineStr">
        <is>
          <t>MUNKEDAL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46218</v>
      </c>
      <c r="F206" t="inlineStr">
        <is>
          <t>VÄSTRA GÖTALANDS LÄN</t>
        </is>
      </c>
      <c r="G206" t="inlineStr">
        <is>
          <t>MUNKEDAL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21134-2025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45778</v>
      </c>
      <c r="E207" s="1" t="n">
        <v>46218</v>
      </c>
      <c r="F207" t="inlineStr">
        <is>
          <t>VÄSTRA GÖTALANDS LÄN</t>
        </is>
      </c>
      <c r="G207" t="inlineStr">
        <is>
          <t>MUNKEDAL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21135-2025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45778</v>
      </c>
      <c r="E208" s="1" t="n">
        <v>46218</v>
      </c>
      <c r="F208" t="inlineStr">
        <is>
          <t>VÄSTRA GÖTALANDS LÄN</t>
        </is>
      </c>
      <c r="G208" t="inlineStr">
        <is>
          <t>MUNKEDAL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44960</v>
      </c>
      <c r="E209" s="1" t="n">
        <v>46218</v>
      </c>
      <c r="F209" t="inlineStr">
        <is>
          <t>VÄSTRA GÖTALANDS LÄN</t>
        </is>
      </c>
      <c r="G209" t="inlineStr">
        <is>
          <t>MUNKEDAL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29707-2022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44755</v>
      </c>
      <c r="E210" s="1" t="n">
        <v>46218</v>
      </c>
      <c r="F210" t="inlineStr">
        <is>
          <t>VÄSTRA GÖTALANDS LÄN</t>
        </is>
      </c>
      <c r="G210" t="inlineStr">
        <is>
          <t>MUNKEDAL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45325</v>
      </c>
      <c r="E211" s="1" t="n">
        <v>46218</v>
      </c>
      <c r="F211" t="inlineStr">
        <is>
          <t>VÄSTRA GÖTALANDS LÄN</t>
        </is>
      </c>
      <c r="G211" t="inlineStr">
        <is>
          <t>MUNKEDAL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52115-2025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45952</v>
      </c>
      <c r="E212" s="1" t="n">
        <v>46218</v>
      </c>
      <c r="F212" t="inlineStr">
        <is>
          <t>VÄSTRA GÖTALANDS LÄN</t>
        </is>
      </c>
      <c r="G212" t="inlineStr">
        <is>
          <t>MUNKEDAL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30427-2023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46218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Naturvårdsverket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24150-2023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46218</v>
      </c>
      <c r="F214" t="inlineStr">
        <is>
          <t>VÄSTRA GÖTALANDS LÄN</t>
        </is>
      </c>
      <c r="G214" t="inlineStr">
        <is>
          <t>MUNKEDAL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45029</v>
      </c>
      <c r="E215" s="1" t="n">
        <v>46218</v>
      </c>
      <c r="F215" t="inlineStr">
        <is>
          <t>VÄSTRA GÖTALANDS LÄN</t>
        </is>
      </c>
      <c r="G215" t="inlineStr">
        <is>
          <t>MUNKEDAL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46218</v>
      </c>
      <c r="F216" t="inlineStr">
        <is>
          <t>VÄSTRA GÖTALANDS LÄN</t>
        </is>
      </c>
      <c r="G216" t="inlineStr">
        <is>
          <t>MUNKEDAL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35645-2023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46218</v>
      </c>
      <c r="F217" t="inlineStr">
        <is>
          <t>VÄSTRA GÖTALANDS LÄN</t>
        </is>
      </c>
      <c r="G217" t="inlineStr">
        <is>
          <t>MUNKEDAL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21984-2025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45784</v>
      </c>
      <c r="E218" s="1" t="n">
        <v>46218</v>
      </c>
      <c r="F218" t="inlineStr">
        <is>
          <t>VÄSTRA GÖTALANDS LÄN</t>
        </is>
      </c>
      <c r="G218" t="inlineStr">
        <is>
          <t>MUNKEDAL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21981-2025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46218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9748-2023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46218</v>
      </c>
      <c r="F220" t="inlineStr">
        <is>
          <t>VÄSTRA GÖTALANDS LÄN</t>
        </is>
      </c>
      <c r="G220" t="inlineStr">
        <is>
          <t>MUNKEDAL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17136-2025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46218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54866-2024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45618</v>
      </c>
      <c r="E222" s="1" t="n">
        <v>46218</v>
      </c>
      <c r="F222" t="inlineStr">
        <is>
          <t>VÄSTRA GÖTALANDS LÄN</t>
        </is>
      </c>
      <c r="G222" t="inlineStr">
        <is>
          <t>MUNKEDAL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37327-2022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46218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25.2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53839-2021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46218</v>
      </c>
      <c r="F224" t="inlineStr">
        <is>
          <t>VÄSTRA GÖTALANDS LÄN</t>
        </is>
      </c>
      <c r="G224" t="inlineStr">
        <is>
          <t>MUNKEDAL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54933-2024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45618</v>
      </c>
      <c r="E225" s="1" t="n">
        <v>46218</v>
      </c>
      <c r="F225" t="inlineStr">
        <is>
          <t>VÄSTRA GÖTALANDS LÄN</t>
        </is>
      </c>
      <c r="G225" t="inlineStr">
        <is>
          <t>MUNKEDAL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46218</v>
      </c>
      <c r="F226" t="inlineStr">
        <is>
          <t>VÄSTRA GÖTALANDS LÄN</t>
        </is>
      </c>
      <c r="G226" t="inlineStr">
        <is>
          <t>MUNKEDAL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10633-2025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46218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45317</v>
      </c>
      <c r="E228" s="1" t="n">
        <v>46218</v>
      </c>
      <c r="F228" t="inlineStr">
        <is>
          <t>VÄSTRA GÖTALANDS LÄN</t>
        </is>
      </c>
      <c r="G228" t="inlineStr">
        <is>
          <t>MUNKEDAL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14107-2025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46218</v>
      </c>
      <c r="F229" t="inlineStr">
        <is>
          <t>VÄSTRA GÖTALANDS LÄN</t>
        </is>
      </c>
      <c r="G229" t="inlineStr">
        <is>
          <t>MUNKEDAL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46218</v>
      </c>
      <c r="F230" t="inlineStr">
        <is>
          <t>VÄSTRA GÖTALANDS LÄN</t>
        </is>
      </c>
      <c r="G230" t="inlineStr">
        <is>
          <t>MUNKEDAL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18278-2025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45762</v>
      </c>
      <c r="E231" s="1" t="n">
        <v>46218</v>
      </c>
      <c r="F231" t="inlineStr">
        <is>
          <t>VÄSTRA GÖTALANDS LÄN</t>
        </is>
      </c>
      <c r="G231" t="inlineStr">
        <is>
          <t>MUNKEDAL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9558-2025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45714</v>
      </c>
      <c r="E232" s="1" t="n">
        <v>46218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26.5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14327-2025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46218</v>
      </c>
      <c r="F233" t="inlineStr">
        <is>
          <t>VÄSTRA GÖTALANDS LÄN</t>
        </is>
      </c>
      <c r="G233" t="inlineStr">
        <is>
          <t>MUNKEDAL</t>
        </is>
      </c>
      <c r="I233" t="n">
        <v>12.7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23527-2025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46218</v>
      </c>
      <c r="F234" t="inlineStr">
        <is>
          <t>VÄSTRA GÖTALANDS LÄN</t>
        </is>
      </c>
      <c r="G234" t="inlineStr">
        <is>
          <t>MUNKEDAL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44946</v>
      </c>
      <c r="E235" s="1" t="n">
        <v>46218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46218</v>
      </c>
      <c r="F236" t="inlineStr">
        <is>
          <t>VÄSTRA GÖTALANDS LÄN</t>
        </is>
      </c>
      <c r="G236" t="inlineStr">
        <is>
          <t>MUNKEDAL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37941-2023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46218</v>
      </c>
      <c r="F237" t="inlineStr">
        <is>
          <t>VÄSTRA GÖTALANDS LÄN</t>
        </is>
      </c>
      <c r="G237" t="inlineStr">
        <is>
          <t>MUNKEDAL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24396-2025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46218</v>
      </c>
      <c r="F238" t="inlineStr">
        <is>
          <t>VÄSTRA GÖTALANDS LÄN</t>
        </is>
      </c>
      <c r="G238" t="inlineStr">
        <is>
          <t>MUNKEDAL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24397-2025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46218</v>
      </c>
      <c r="F239" t="inlineStr">
        <is>
          <t>VÄSTRA GÖTALANDS LÄN</t>
        </is>
      </c>
      <c r="G239" t="inlineStr">
        <is>
          <t>MUNKEDAL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6222-2025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45696</v>
      </c>
      <c r="E240" s="1" t="n">
        <v>46218</v>
      </c>
      <c r="F240" t="inlineStr">
        <is>
          <t>VÄSTRA GÖTALANDS LÄN</t>
        </is>
      </c>
      <c r="G240" t="inlineStr">
        <is>
          <t>MUNKEDAL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46418-2024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46218</v>
      </c>
      <c r="F241" t="inlineStr">
        <is>
          <t>VÄSTRA GÖTALANDS LÄN</t>
        </is>
      </c>
      <c r="G241" t="inlineStr">
        <is>
          <t>MUNKEDAL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20251-2022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44698</v>
      </c>
      <c r="E242" s="1" t="n">
        <v>46218</v>
      </c>
      <c r="F242" t="inlineStr">
        <is>
          <t>VÄSTRA GÖTALANDS LÄN</t>
        </is>
      </c>
      <c r="G242" t="inlineStr">
        <is>
          <t>MUNKEDAL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53514-2024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46218</v>
      </c>
      <c r="F243" t="inlineStr">
        <is>
          <t>VÄSTRA GÖTALANDS LÄN</t>
        </is>
      </c>
      <c r="G243" t="inlineStr">
        <is>
          <t>MUNKEDAL</t>
        </is>
      </c>
      <c r="I243" t="n">
        <v>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47758-2024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45588</v>
      </c>
      <c r="E244" s="1" t="n">
        <v>46218</v>
      </c>
      <c r="F244" t="inlineStr">
        <is>
          <t>VÄSTRA GÖTALANDS LÄN</t>
        </is>
      </c>
      <c r="G244" t="inlineStr">
        <is>
          <t>MUNKEDAL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44482-2023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46218</v>
      </c>
      <c r="F245" t="inlineStr">
        <is>
          <t>VÄSTRA GÖTALANDS LÄN</t>
        </is>
      </c>
      <c r="G245" t="inlineStr">
        <is>
          <t>MUNKEDAL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51411-2022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44866</v>
      </c>
      <c r="E246" s="1" t="n">
        <v>46218</v>
      </c>
      <c r="F246" t="inlineStr">
        <is>
          <t>VÄSTRA GÖTALANDS LÄN</t>
        </is>
      </c>
      <c r="G246" t="inlineStr">
        <is>
          <t>MUNKEDAL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45800</v>
      </c>
      <c r="E247" s="1" t="n">
        <v>46218</v>
      </c>
      <c r="F247" t="inlineStr">
        <is>
          <t>VÄSTRA GÖTALANDS LÄN</t>
        </is>
      </c>
      <c r="G247" t="inlineStr">
        <is>
          <t>MUNKEDAL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3134-2025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46218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25607-2025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46218</v>
      </c>
      <c r="F249" t="inlineStr">
        <is>
          <t>VÄSTRA GÖTALANDS LÄN</t>
        </is>
      </c>
      <c r="G249" t="inlineStr">
        <is>
          <t>MUNKEDAL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46218</v>
      </c>
      <c r="F250" t="inlineStr">
        <is>
          <t>VÄSTRA GÖTALANDS LÄN</t>
        </is>
      </c>
      <c r="G250" t="inlineStr">
        <is>
          <t>MUNKEDAL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22452-2023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46218</v>
      </c>
      <c r="F251" t="inlineStr">
        <is>
          <t>VÄSTRA GÖTALANDS LÄN</t>
        </is>
      </c>
      <c r="G251" t="inlineStr">
        <is>
          <t>MUNKEDAL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59150-2022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46218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46218</v>
      </c>
      <c r="F253" t="inlineStr">
        <is>
          <t>VÄSTRA GÖTALANDS LÄN</t>
        </is>
      </c>
      <c r="G253" t="inlineStr">
        <is>
          <t>MUNKEDAL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19631-2022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44694</v>
      </c>
      <c r="E254" s="1" t="n">
        <v>46218</v>
      </c>
      <c r="F254" t="inlineStr">
        <is>
          <t>VÄSTRA GÖTALANDS LÄN</t>
        </is>
      </c>
      <c r="G254" t="inlineStr">
        <is>
          <t>MUNKEDAL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46218</v>
      </c>
      <c r="F255" t="inlineStr">
        <is>
          <t>VÄSTRA GÖTALANDS LÄN</t>
        </is>
      </c>
      <c r="G255" t="inlineStr">
        <is>
          <t>MUNKEDAL</t>
        </is>
      </c>
      <c r="I255" t="n">
        <v>25.2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11525-2023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46218</v>
      </c>
      <c r="F256" t="inlineStr">
        <is>
          <t>VÄSTRA GÖTALANDS LÄN</t>
        </is>
      </c>
      <c r="G256" t="inlineStr">
        <is>
          <t>MUNKEDAL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56867-2024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46218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44593</v>
      </c>
      <c r="E258" s="1" t="n">
        <v>46218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15300-2024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45400</v>
      </c>
      <c r="E259" s="1" t="n">
        <v>46218</v>
      </c>
      <c r="F259" t="inlineStr">
        <is>
          <t>VÄSTRA GÖTALANDS LÄN</t>
        </is>
      </c>
      <c r="G259" t="inlineStr">
        <is>
          <t>MUNKEDAL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19361-2023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45049</v>
      </c>
      <c r="E260" s="1" t="n">
        <v>46218</v>
      </c>
      <c r="F260" t="inlineStr">
        <is>
          <t>VÄSTRA GÖTALANDS LÄN</t>
        </is>
      </c>
      <c r="G260" t="inlineStr">
        <is>
          <t>MUNKEDAL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40647-2024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46218</v>
      </c>
      <c r="F261" t="inlineStr">
        <is>
          <t>VÄSTRA GÖTALANDS LÄN</t>
        </is>
      </c>
      <c r="G261" t="inlineStr">
        <is>
          <t>MUNKEDAL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46218</v>
      </c>
      <c r="F262" t="inlineStr">
        <is>
          <t>VÄSTRA GÖTALANDS LÄN</t>
        </is>
      </c>
      <c r="G262" t="inlineStr">
        <is>
          <t>MUNKEDAL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38164-2022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44812</v>
      </c>
      <c r="E263" s="1" t="n">
        <v>46218</v>
      </c>
      <c r="F263" t="inlineStr">
        <is>
          <t>VÄSTRA GÖTALANDS LÄN</t>
        </is>
      </c>
      <c r="G263" t="inlineStr">
        <is>
          <t>MUNKEDAL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56579-2025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46218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54760-2024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46218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54518-2023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45233</v>
      </c>
      <c r="E266" s="1" t="n">
        <v>46218</v>
      </c>
      <c r="F266" t="inlineStr">
        <is>
          <t>VÄSTRA GÖTALANDS LÄN</t>
        </is>
      </c>
      <c r="G266" t="inlineStr">
        <is>
          <t>MUNKEDAL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45678</v>
      </c>
      <c r="E267" s="1" t="n">
        <v>46218</v>
      </c>
      <c r="F267" t="inlineStr">
        <is>
          <t>VÄSTRA GÖTALANDS LÄN</t>
        </is>
      </c>
      <c r="G267" t="inlineStr">
        <is>
          <t>MUNKEDAL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62331-2023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46218</v>
      </c>
      <c r="F268" t="inlineStr">
        <is>
          <t>VÄSTRA GÖTALANDS LÄN</t>
        </is>
      </c>
      <c r="G268" t="inlineStr">
        <is>
          <t>MUNKEDAL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24088-2024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46218</v>
      </c>
      <c r="F269" t="inlineStr">
        <is>
          <t>VÄSTRA GÖTALANDS LÄN</t>
        </is>
      </c>
      <c r="G269" t="inlineStr">
        <is>
          <t>MUNKEDAL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54955-2024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45619</v>
      </c>
      <c r="E270" s="1" t="n">
        <v>46218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57739-2025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46218</v>
      </c>
      <c r="F271" t="inlineStr">
        <is>
          <t>VÄSTRA GÖTALANDS LÄN</t>
        </is>
      </c>
      <c r="G271" t="inlineStr">
        <is>
          <t>MUNKEDAL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57900-2025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46218</v>
      </c>
      <c r="F272" t="inlineStr">
        <is>
          <t>VÄSTRA GÖTALANDS LÄN</t>
        </is>
      </c>
      <c r="G272" t="inlineStr">
        <is>
          <t>MUNKEDAL</t>
        </is>
      </c>
      <c r="I272" t="n">
        <v>10.9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58251-2024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45631</v>
      </c>
      <c r="E273" s="1" t="n">
        <v>46218</v>
      </c>
      <c r="F273" t="inlineStr">
        <is>
          <t>VÄSTRA GÖTALANDS LÄN</t>
        </is>
      </c>
      <c r="G273" t="inlineStr">
        <is>
          <t>MUNKEDAL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55438-2025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46218</v>
      </c>
      <c r="F274" t="inlineStr">
        <is>
          <t>VÄSTRA GÖTALANDS LÄN</t>
        </is>
      </c>
      <c r="G274" t="inlineStr">
        <is>
          <t>MUNKEDAL</t>
        </is>
      </c>
      <c r="I274" t="n">
        <v>16.3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29305-2025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46218</v>
      </c>
      <c r="F275" t="inlineStr">
        <is>
          <t>VÄSTRA GÖTALANDS LÄN</t>
        </is>
      </c>
      <c r="G275" t="inlineStr">
        <is>
          <t>MUNKEDAL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37331-2024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46218</v>
      </c>
      <c r="F276" t="inlineStr">
        <is>
          <t>VÄSTRA GÖTALANDS LÄN</t>
        </is>
      </c>
      <c r="G276" t="inlineStr">
        <is>
          <t>MUNKEDAL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46218</v>
      </c>
      <c r="F277" t="inlineStr">
        <is>
          <t>VÄSTRA GÖTALANDS LÄN</t>
        </is>
      </c>
      <c r="G277" t="inlineStr">
        <is>
          <t>MUNKEDAL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45478</v>
      </c>
      <c r="E278" s="1" t="n">
        <v>46218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46218</v>
      </c>
      <c r="F279" t="inlineStr">
        <is>
          <t>VÄSTRA GÖTALANDS LÄN</t>
        </is>
      </c>
      <c r="G279" t="inlineStr">
        <is>
          <t>MUNKEDAL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30614-2025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46218</v>
      </c>
      <c r="F280" t="inlineStr">
        <is>
          <t>VÄSTRA GÖTALANDS LÄN</t>
        </is>
      </c>
      <c r="G280" t="inlineStr">
        <is>
          <t>MUNKEDAL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58515-2025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46218</v>
      </c>
      <c r="F281" t="inlineStr">
        <is>
          <t>VÄSTRA GÖTALANDS LÄN</t>
        </is>
      </c>
      <c r="G281" t="inlineStr">
        <is>
          <t>MUNKEDAL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31176-2025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46218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58711-2025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46218</v>
      </c>
      <c r="F283" t="inlineStr">
        <is>
          <t>VÄSTRA GÖTALANDS LÄN</t>
        </is>
      </c>
      <c r="G283" t="inlineStr">
        <is>
          <t>MUNKEDAL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34083-2025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45845</v>
      </c>
      <c r="E284" s="1" t="n">
        <v>46218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34080-2025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46218</v>
      </c>
      <c r="F285" t="inlineStr">
        <is>
          <t>VÄSTRA GÖTALANDS LÄN</t>
        </is>
      </c>
      <c r="G285" t="inlineStr">
        <is>
          <t>MUNKEDAL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58325-2024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46218</v>
      </c>
      <c r="F286" t="inlineStr">
        <is>
          <t>VÄSTRA GÖTALANDS LÄN</t>
        </is>
      </c>
      <c r="G286" t="inlineStr">
        <is>
          <t>MUNKEDAL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34624-2025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46218</v>
      </c>
      <c r="F287" t="inlineStr">
        <is>
          <t>VÄSTRA GÖTALANDS LÄN</t>
        </is>
      </c>
      <c r="G287" t="inlineStr">
        <is>
          <t>MUNKEDAL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34978-2025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45849</v>
      </c>
      <c r="E288" s="1" t="n">
        <v>46218</v>
      </c>
      <c r="F288" t="inlineStr">
        <is>
          <t>VÄSTRA GÖTALANDS LÄN</t>
        </is>
      </c>
      <c r="G288" t="inlineStr">
        <is>
          <t>MUNKEDAL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8761-2024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46218</v>
      </c>
      <c r="F289" t="inlineStr">
        <is>
          <t>VÄSTRA GÖTALANDS LÄN</t>
        </is>
      </c>
      <c r="G289" t="inlineStr">
        <is>
          <t>MUNKEDAL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46218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36948-2025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45874</v>
      </c>
      <c r="E291" s="1" t="n">
        <v>46218</v>
      </c>
      <c r="F291" t="inlineStr">
        <is>
          <t>VÄSTRA GÖTALANDS LÄN</t>
        </is>
      </c>
      <c r="G291" t="inlineStr">
        <is>
          <t>MUNKEDAL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16968-2025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45755</v>
      </c>
      <c r="E292" s="1" t="n">
        <v>46218</v>
      </c>
      <c r="F292" t="inlineStr">
        <is>
          <t>VÄSTRA GÖTALANDS LÄN</t>
        </is>
      </c>
      <c r="G292" t="inlineStr">
        <is>
          <t>MUNKEDAL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23605-2023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46218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59099-2025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46218</v>
      </c>
      <c r="F294" t="inlineStr">
        <is>
          <t>VÄSTRA GÖTALANDS LÄN</t>
        </is>
      </c>
      <c r="G294" t="inlineStr">
        <is>
          <t>MUNKEDAL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44580</v>
      </c>
      <c r="E295" s="1" t="n">
        <v>46218</v>
      </c>
      <c r="F295" t="inlineStr">
        <is>
          <t>VÄSTRA GÖTALANDS LÄN</t>
        </is>
      </c>
      <c r="G295" t="inlineStr">
        <is>
          <t>MUNKEDAL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52302-2022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44873</v>
      </c>
      <c r="E296" s="1" t="n">
        <v>46218</v>
      </c>
      <c r="F296" t="inlineStr">
        <is>
          <t>VÄSTRA GÖTALANDS LÄN</t>
        </is>
      </c>
      <c r="G296" t="inlineStr">
        <is>
          <t>MUNKEDAL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13659-2025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45736</v>
      </c>
      <c r="E297" s="1" t="n">
        <v>46218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8561-2024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46218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45123-2021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44439</v>
      </c>
      <c r="E299" s="1" t="n">
        <v>46218</v>
      </c>
      <c r="F299" t="inlineStr">
        <is>
          <t>VÄSTRA GÖTALANDS LÄN</t>
        </is>
      </c>
      <c r="G299" t="inlineStr">
        <is>
          <t>MUNKEDAL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61584-2023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45261</v>
      </c>
      <c r="E300" s="1" t="n">
        <v>46218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24180-2025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46218</v>
      </c>
      <c r="F301" t="inlineStr">
        <is>
          <t>VÄSTRA GÖTALANDS LÄN</t>
        </is>
      </c>
      <c r="G301" t="inlineStr">
        <is>
          <t>MUNKEDAL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23610-2023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45072</v>
      </c>
      <c r="E302" s="1" t="n">
        <v>46218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Kommuner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26699-2024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45470</v>
      </c>
      <c r="E303" s="1" t="n">
        <v>46218</v>
      </c>
      <c r="F303" t="inlineStr">
        <is>
          <t>VÄSTRA GÖTALANDS LÄN</t>
        </is>
      </c>
      <c r="G303" t="inlineStr">
        <is>
          <t>MUNKEDAL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45348</v>
      </c>
      <c r="E304" s="1" t="n">
        <v>46218</v>
      </c>
      <c r="F304" t="inlineStr">
        <is>
          <t>VÄSTRA GÖTALANDS LÄN</t>
        </is>
      </c>
      <c r="G304" t="inlineStr">
        <is>
          <t>MUNKEDAL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62463-2023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46218</v>
      </c>
      <c r="F305" t="inlineStr">
        <is>
          <t>VÄSTRA GÖTALANDS LÄN</t>
        </is>
      </c>
      <c r="G305" t="inlineStr">
        <is>
          <t>MUNKEDAL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19289-2025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46218</v>
      </c>
      <c r="F306" t="inlineStr">
        <is>
          <t>VÄSTRA GÖTALANDS LÄN</t>
        </is>
      </c>
      <c r="G306" t="inlineStr">
        <is>
          <t>MUNKEDAL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20753-2026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46218</v>
      </c>
      <c r="F307" t="inlineStr">
        <is>
          <t>VÄSTRA GÖTALANDS LÄN</t>
        </is>
      </c>
      <c r="G307" t="inlineStr">
        <is>
          <t>MUNKEDAL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29588-2024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45484</v>
      </c>
      <c r="E308" s="1" t="n">
        <v>46218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8576-2025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45709</v>
      </c>
      <c r="E309" s="1" t="n">
        <v>46218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49946-2021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44454</v>
      </c>
      <c r="E310" s="1" t="n">
        <v>46218</v>
      </c>
      <c r="F310" t="inlineStr">
        <is>
          <t>VÄSTRA GÖTALANDS LÄN</t>
        </is>
      </c>
      <c r="G310" t="inlineStr">
        <is>
          <t>MUNKEDAL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33192-2023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45127</v>
      </c>
      <c r="E311" s="1" t="n">
        <v>46218</v>
      </c>
      <c r="F311" t="inlineStr">
        <is>
          <t>VÄSTRA GÖTALANDS LÄN</t>
        </is>
      </c>
      <c r="G311" t="inlineStr">
        <is>
          <t>MUNKEDAL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37934-2025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45881</v>
      </c>
      <c r="E312" s="1" t="n">
        <v>46218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20784-2026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46218</v>
      </c>
      <c r="F313" t="inlineStr">
        <is>
          <t>VÄSTRA GÖTALANDS LÄN</t>
        </is>
      </c>
      <c r="G313" t="inlineStr">
        <is>
          <t>MUNKEDAL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20797-2026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46218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46218</v>
      </c>
      <c r="F315" t="inlineStr">
        <is>
          <t>VÄSTRA GÖTALANDS LÄN</t>
        </is>
      </c>
      <c r="G315" t="inlineStr">
        <is>
          <t>MUNKEDAL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61268-2025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46218</v>
      </c>
      <c r="F316" t="inlineStr">
        <is>
          <t>VÄSTRA GÖTALANDS LÄN</t>
        </is>
      </c>
      <c r="G316" t="inlineStr">
        <is>
          <t>MUNKEDAL</t>
        </is>
      </c>
      <c r="I316" t="n">
        <v>17.5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46000</v>
      </c>
      <c r="E317" s="1" t="n">
        <v>46218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38544-2024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46218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20456-2026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46218</v>
      </c>
      <c r="F319" t="inlineStr">
        <is>
          <t>VÄSTRA GÖTALANDS LÄN</t>
        </is>
      </c>
      <c r="G319" t="inlineStr">
        <is>
          <t>MUNKEDAL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61276-2025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46218</v>
      </c>
      <c r="F320" t="inlineStr">
        <is>
          <t>VÄSTRA GÖTALANDS LÄN</t>
        </is>
      </c>
      <c r="G320" t="inlineStr">
        <is>
          <t>MUNKEDAL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61804-2025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46002</v>
      </c>
      <c r="E321" s="1" t="n">
        <v>46218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26835-2026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46218</v>
      </c>
      <c r="F322" t="inlineStr">
        <is>
          <t>VÄSTRA GÖTALANDS LÄN</t>
        </is>
      </c>
      <c r="G322" t="inlineStr">
        <is>
          <t>MUNKEDAL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45667</v>
      </c>
      <c r="E323" s="1" t="n">
        <v>46218</v>
      </c>
      <c r="F323" t="inlineStr">
        <is>
          <t>VÄSTRA GÖTALANDS LÄN</t>
        </is>
      </c>
      <c r="G323" t="inlineStr">
        <is>
          <t>MUNKEDAL</t>
        </is>
      </c>
      <c r="H323" t="inlineStr">
        <is>
          <t>Övriga Aktiebolag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54875-2024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45618</v>
      </c>
      <c r="E324" s="1" t="n">
        <v>46218</v>
      </c>
      <c r="F324" t="inlineStr">
        <is>
          <t>VÄSTRA GÖTALANDS LÄN</t>
        </is>
      </c>
      <c r="G324" t="inlineStr">
        <is>
          <t>MUNKEDAL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20879-2026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46218</v>
      </c>
      <c r="F325" t="inlineStr">
        <is>
          <t>VÄSTRA GÖTALANDS LÄN</t>
        </is>
      </c>
      <c r="G325" t="inlineStr">
        <is>
          <t>MUNKEDAL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61997-2025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46218</v>
      </c>
      <c r="F326" t="inlineStr">
        <is>
          <t>VÄSTRA GÖTALANDS LÄN</t>
        </is>
      </c>
      <c r="G326" t="inlineStr">
        <is>
          <t>MUNKEDAL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62500-2025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46218</v>
      </c>
      <c r="F327" t="inlineStr">
        <is>
          <t>VÄSTRA GÖTALANDS LÄN</t>
        </is>
      </c>
      <c r="G327" t="inlineStr">
        <is>
          <t>MUNKEDAL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33925-2024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45522</v>
      </c>
      <c r="E328" s="1" t="n">
        <v>46218</v>
      </c>
      <c r="F328" t="inlineStr">
        <is>
          <t>VÄSTRA GÖTALANDS LÄN</t>
        </is>
      </c>
      <c r="G328" t="inlineStr">
        <is>
          <t>MUNKEDAL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21230-2026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46218</v>
      </c>
      <c r="F329" t="inlineStr">
        <is>
          <t>VÄSTRA GÖTALANDS LÄN</t>
        </is>
      </c>
      <c r="G329" t="inlineStr">
        <is>
          <t>MUNKEDAL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64132-2025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46218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46218</v>
      </c>
      <c r="F331" t="inlineStr">
        <is>
          <t>VÄSTRA GÖTALANDS LÄN</t>
        </is>
      </c>
      <c r="G331" t="inlineStr">
        <is>
          <t>MUNKEDAL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63515-2025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46218</v>
      </c>
      <c r="F332" t="inlineStr">
        <is>
          <t>VÄSTRA GÖTALANDS LÄN</t>
        </is>
      </c>
      <c r="G332" t="inlineStr">
        <is>
          <t>MUNKEDAL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27532-2026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46189</v>
      </c>
      <c r="E333" s="1" t="n">
        <v>46218</v>
      </c>
      <c r="F333" t="inlineStr">
        <is>
          <t>VÄSTRA GÖTALANDS LÄN</t>
        </is>
      </c>
      <c r="G333" t="inlineStr">
        <is>
          <t>MUNKEDAL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33194-2023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45127</v>
      </c>
      <c r="E334" s="1" t="n">
        <v>46218</v>
      </c>
      <c r="F334" t="inlineStr">
        <is>
          <t>VÄSTRA GÖTALANDS LÄN</t>
        </is>
      </c>
      <c r="G334" t="inlineStr">
        <is>
          <t>MUNKEDAL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46218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27607-2026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46218</v>
      </c>
      <c r="F336" t="inlineStr">
        <is>
          <t>VÄSTRA GÖTALANDS LÄN</t>
        </is>
      </c>
      <c r="G336" t="inlineStr">
        <is>
          <t>MUNKEDAL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64147-2025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46022</v>
      </c>
      <c r="E337" s="1" t="n">
        <v>46218</v>
      </c>
      <c r="F337" t="inlineStr">
        <is>
          <t>VÄSTRA GÖTALANDS LÄN</t>
        </is>
      </c>
      <c r="G337" t="inlineStr">
        <is>
          <t>MUNKEDAL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64146-2025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46022</v>
      </c>
      <c r="E338" s="1" t="n">
        <v>46218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24608-2026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46171</v>
      </c>
      <c r="E339" s="1" t="n">
        <v>46218</v>
      </c>
      <c r="F339" t="inlineStr">
        <is>
          <t>VÄSTRA GÖTALANDS LÄN</t>
        </is>
      </c>
      <c r="G339" t="inlineStr">
        <is>
          <t>MUNKEDAL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36906-2023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45153</v>
      </c>
      <c r="E340" s="1" t="n">
        <v>46218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46218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43438-2021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44432</v>
      </c>
      <c r="E342" s="1" t="n">
        <v>46218</v>
      </c>
      <c r="F342" t="inlineStr">
        <is>
          <t>VÄSTRA GÖTALANDS LÄN</t>
        </is>
      </c>
      <c r="G342" t="inlineStr">
        <is>
          <t>MUNKEDAL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43547-2021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44432</v>
      </c>
      <c r="E343" s="1" t="n">
        <v>46218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Övriga Aktiebolag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46035</v>
      </c>
      <c r="E344" s="1" t="n">
        <v>46218</v>
      </c>
      <c r="F344" t="inlineStr">
        <is>
          <t>VÄSTRA GÖTALANDS LÄN</t>
        </is>
      </c>
      <c r="G344" t="inlineStr">
        <is>
          <t>MUNKEDAL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46218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14339-2024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46218</v>
      </c>
      <c r="F346" t="inlineStr">
        <is>
          <t>VÄSTRA GÖTALANDS LÄN</t>
        </is>
      </c>
      <c r="G346" t="inlineStr">
        <is>
          <t>MUNKEDAL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41714-2024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45560</v>
      </c>
      <c r="E347" s="1" t="n">
        <v>46218</v>
      </c>
      <c r="F347" t="inlineStr">
        <is>
          <t>VÄSTRA GÖTALANDS LÄN</t>
        </is>
      </c>
      <c r="G347" t="inlineStr">
        <is>
          <t>MUNKEDAL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46218</v>
      </c>
      <c r="F348" t="inlineStr">
        <is>
          <t>VÄSTRA GÖTALANDS LÄN</t>
        </is>
      </c>
      <c r="G348" t="inlineStr">
        <is>
          <t>MUNKEDAL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46038</v>
      </c>
      <c r="E349" s="1" t="n">
        <v>46218</v>
      </c>
      <c r="F349" t="inlineStr">
        <is>
          <t>VÄSTRA GÖTALANDS LÄN</t>
        </is>
      </c>
      <c r="G349" t="inlineStr">
        <is>
          <t>MUNKEDAL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59160-2022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44897</v>
      </c>
      <c r="E350" s="1" t="n">
        <v>46218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28919-2025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46218</v>
      </c>
      <c r="F351" t="inlineStr">
        <is>
          <t>VÄSTRA GÖTALANDS LÄN</t>
        </is>
      </c>
      <c r="G351" t="inlineStr">
        <is>
          <t>MUNKEDAL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46218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Naturvårdsverket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30554-2023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46218</v>
      </c>
      <c r="F353" t="inlineStr">
        <is>
          <t>VÄSTRA GÖTALANDS LÄN</t>
        </is>
      </c>
      <c r="G353" t="inlineStr">
        <is>
          <t>MUNKEDAL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46218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61695-2023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46218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58617-2023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45251</v>
      </c>
      <c r="E356" s="1" t="n">
        <v>46218</v>
      </c>
      <c r="F356" t="inlineStr">
        <is>
          <t>VÄSTRA GÖTALANDS LÄN</t>
        </is>
      </c>
      <c r="G356" t="inlineStr">
        <is>
          <t>MUNKEDAL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7844-2022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44608</v>
      </c>
      <c r="E357" s="1" t="n">
        <v>46218</v>
      </c>
      <c r="F357" t="inlineStr">
        <is>
          <t>VÄSTRA GÖTALANDS LÄN</t>
        </is>
      </c>
      <c r="G357" t="inlineStr">
        <is>
          <t>MUNKEDAL</t>
        </is>
      </c>
      <c r="I357" t="n">
        <v>15.4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58157-2025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45982</v>
      </c>
      <c r="E358" s="1" t="n">
        <v>46218</v>
      </c>
      <c r="F358" t="inlineStr">
        <is>
          <t>VÄSTRA GÖTALANDS LÄN</t>
        </is>
      </c>
      <c r="G358" t="inlineStr">
        <is>
          <t>MUNKEDAL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46218</v>
      </c>
      <c r="F359" t="inlineStr">
        <is>
          <t>VÄSTRA GÖTALANDS LÄN</t>
        </is>
      </c>
      <c r="G359" t="inlineStr">
        <is>
          <t>MUNKEDAL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46047</v>
      </c>
      <c r="E360" s="1" t="n">
        <v>46218</v>
      </c>
      <c r="F360" t="inlineStr">
        <is>
          <t>VÄSTRA GÖTALANDS LÄN</t>
        </is>
      </c>
      <c r="G360" t="inlineStr">
        <is>
          <t>MUNKEDAL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50034-2023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46218</v>
      </c>
      <c r="F361" t="inlineStr">
        <is>
          <t>VÄSTRA GÖTALANDS LÄN</t>
        </is>
      </c>
      <c r="G361" t="inlineStr">
        <is>
          <t>MUNKEDAL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29451-2026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46218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22518-2023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46218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Naturvårdsverket</t>
        </is>
      </c>
      <c r="I363" t="n">
        <v>15.8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35685-2024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46218</v>
      </c>
      <c r="F364" t="inlineStr">
        <is>
          <t>VÄSTRA GÖTALANDS LÄN</t>
        </is>
      </c>
      <c r="G364" t="inlineStr">
        <is>
          <t>MUNKEDAL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37419-2023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45155</v>
      </c>
      <c r="E365" s="1" t="n">
        <v>46218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45314</v>
      </c>
      <c r="E366" s="1" t="n">
        <v>46218</v>
      </c>
      <c r="F366" t="inlineStr">
        <is>
          <t>VÄSTRA GÖTALANDS LÄN</t>
        </is>
      </c>
      <c r="G366" t="inlineStr">
        <is>
          <t>MUNKEDAL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46218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29946-2024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45488</v>
      </c>
      <c r="E368" s="1" t="n">
        <v>46218</v>
      </c>
      <c r="F368" t="inlineStr">
        <is>
          <t>VÄSTRA GÖTALANDS LÄN</t>
        </is>
      </c>
      <c r="G368" t="inlineStr">
        <is>
          <t>MUNKEDAL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44984</v>
      </c>
      <c r="E369" s="1" t="n">
        <v>46218</v>
      </c>
      <c r="F369" t="inlineStr">
        <is>
          <t>VÄSTRA GÖTALANDS LÄN</t>
        </is>
      </c>
      <c r="G369" t="inlineStr">
        <is>
          <t>MUNKEDAL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5500-2026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46218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Kyrkan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30133-2024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46218</v>
      </c>
      <c r="F371" t="inlineStr">
        <is>
          <t>VÄSTRA GÖTALANDS LÄN</t>
        </is>
      </c>
      <c r="G371" t="inlineStr">
        <is>
          <t>MUNKEDAL</t>
        </is>
      </c>
      <c r="I371" t="n">
        <v>10.3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6824-2026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46218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22959-2026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46218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6685-2026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46218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29515-2026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46218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statliga verk och myndigheter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7385-2026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46218</v>
      </c>
      <c r="F376" t="inlineStr">
        <is>
          <t>VÄSTRA GÖTALANDS LÄN</t>
        </is>
      </c>
      <c r="G376" t="inlineStr">
        <is>
          <t>MUNKEDAL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46218</v>
      </c>
      <c r="F377" t="inlineStr">
        <is>
          <t>VÄSTRA GÖTALANDS LÄN</t>
        </is>
      </c>
      <c r="G377" t="inlineStr">
        <is>
          <t>MUNKEDAL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7950-2026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46218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30002-2026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46218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8257-2026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46218</v>
      </c>
      <c r="F380" t="inlineStr">
        <is>
          <t>VÄSTRA GÖTALANDS LÄN</t>
        </is>
      </c>
      <c r="G380" t="inlineStr">
        <is>
          <t>MUNKEDAL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23876-2026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46218</v>
      </c>
      <c r="F381" t="inlineStr">
        <is>
          <t>VÄSTRA GÖTALANDS LÄN</t>
        </is>
      </c>
      <c r="G381" t="inlineStr">
        <is>
          <t>MUNKEDAL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10096-2026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46218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Övriga Aktiebolag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10097-2026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46218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23872-2026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46218</v>
      </c>
      <c r="F384" t="inlineStr">
        <is>
          <t>VÄSTRA GÖTALANDS LÄN</t>
        </is>
      </c>
      <c r="G384" t="inlineStr">
        <is>
          <t>MUNKEDAL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24403-2026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46218</v>
      </c>
      <c r="F385" t="inlineStr">
        <is>
          <t>VÄSTRA GÖTALANDS LÄN</t>
        </is>
      </c>
      <c r="G385" t="inlineStr">
        <is>
          <t>MUNKEDAL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10775-2026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46078</v>
      </c>
      <c r="E386" s="1" t="n">
        <v>46218</v>
      </c>
      <c r="F386" t="inlineStr">
        <is>
          <t>VÄSTRA GÖTALANDS LÄN</t>
        </is>
      </c>
      <c r="G386" t="inlineStr">
        <is>
          <t>MUNKEDAL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24393-2026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46218</v>
      </c>
      <c r="F387" t="inlineStr">
        <is>
          <t>VÄSTRA GÖTALANDS LÄN</t>
        </is>
      </c>
      <c r="G387" t="inlineStr">
        <is>
          <t>MUNKEDAL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42005-2023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45174</v>
      </c>
      <c r="E388" s="1" t="n">
        <v>46218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Kyrkan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6809-2024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46218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Kyrkan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12624-2026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46218</v>
      </c>
      <c r="F390" t="inlineStr">
        <is>
          <t>VÄSTRA GÖTALANDS LÄN</t>
        </is>
      </c>
      <c r="G390" t="inlineStr">
        <is>
          <t>MUNKEDAL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31166-2026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46218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25232-2026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46218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31164-2026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46218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31165-2026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46218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Övriga Aktiebolag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31167-2026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46209</v>
      </c>
      <c r="E395" s="1" t="n">
        <v>46218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14607-2026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46101</v>
      </c>
      <c r="E396" s="1" t="n">
        <v>46218</v>
      </c>
      <c r="F396" t="inlineStr">
        <is>
          <t>VÄSTRA GÖTALANDS LÄN</t>
        </is>
      </c>
      <c r="G396" t="inlineStr">
        <is>
          <t>MUNKEDAL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14608-2026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46218</v>
      </c>
      <c r="F397" t="inlineStr">
        <is>
          <t>VÄSTRA GÖTALANDS LÄN</t>
        </is>
      </c>
      <c r="G397" t="inlineStr">
        <is>
          <t>MUNKEDAL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16407-2026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46218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16330-2026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46218</v>
      </c>
      <c r="F399" t="inlineStr">
        <is>
          <t>VÄSTRA GÖTALANDS LÄN</t>
        </is>
      </c>
      <c r="G399" t="inlineStr">
        <is>
          <t>MUNKEDAL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16410-2026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46218</v>
      </c>
      <c r="F400" t="inlineStr">
        <is>
          <t>VÄSTRA GÖTALANDS LÄN</t>
        </is>
      </c>
      <c r="G400" t="inlineStr">
        <is>
          <t>MUNKEDAL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16416-2026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46218</v>
      </c>
      <c r="F401" t="inlineStr">
        <is>
          <t>VÄSTRA GÖTALANDS LÄN</t>
        </is>
      </c>
      <c r="G401" t="inlineStr">
        <is>
          <t>MUNKEDAL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16399-2026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46111</v>
      </c>
      <c r="E402" s="1" t="n">
        <v>46218</v>
      </c>
      <c r="F402" t="inlineStr">
        <is>
          <t>VÄSTRA GÖTALANDS LÄN</t>
        </is>
      </c>
      <c r="G402" t="inlineStr">
        <is>
          <t>MUNKEDAL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16405-2026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46111</v>
      </c>
      <c r="E403" s="1" t="n">
        <v>46218</v>
      </c>
      <c r="F403" t="inlineStr">
        <is>
          <t>VÄSTRA GÖTALANDS LÄN</t>
        </is>
      </c>
      <c r="G403" t="inlineStr">
        <is>
          <t>MUNKEDAL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18569-2026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46218</v>
      </c>
      <c r="F404" t="inlineStr">
        <is>
          <t>VÄSTRA GÖTALANDS LÄN</t>
        </is>
      </c>
      <c r="G404" t="inlineStr">
        <is>
          <t>MUNKEDAL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16631-2022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44672</v>
      </c>
      <c r="E405" s="1" t="n">
        <v>46218</v>
      </c>
      <c r="F405" t="inlineStr">
        <is>
          <t>VÄSTRA GÖTALANDS LÄN</t>
        </is>
      </c>
      <c r="G405" t="inlineStr">
        <is>
          <t>MUNKEDAL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19173-2026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46218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18280-2026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46218</v>
      </c>
      <c r="F407" t="inlineStr">
        <is>
          <t>VÄSTRA GÖTALANDS LÄN</t>
        </is>
      </c>
      <c r="G407" t="inlineStr">
        <is>
          <t>MUNKEDAL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19022-2026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46131</v>
      </c>
      <c r="E408" s="1" t="n">
        <v>46218</v>
      </c>
      <c r="F408" t="inlineStr">
        <is>
          <t>VÄSTRA GÖTALANDS LÄN</t>
        </is>
      </c>
      <c r="G408" t="inlineStr">
        <is>
          <t>MUNKEDAL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19593-2026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46218</v>
      </c>
      <c r="F409" t="inlineStr">
        <is>
          <t>VÄSTRA GÖTALANDS LÄN</t>
        </is>
      </c>
      <c r="G409" t="inlineStr">
        <is>
          <t>MUNKEDAL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49350-2025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46218</v>
      </c>
      <c r="F410" t="inlineStr">
        <is>
          <t>VÄSTRA GÖTALANDS LÄN</t>
        </is>
      </c>
      <c r="G410" t="inlineStr">
        <is>
          <t>MUNKEDAL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52555-2025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45954</v>
      </c>
      <c r="E411" s="1" t="n">
        <v>46218</v>
      </c>
      <c r="F411" t="inlineStr">
        <is>
          <t>VÄSTRA GÖTALANDS LÄN</t>
        </is>
      </c>
      <c r="G411" t="inlineStr">
        <is>
          <t>MUNKEDAL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13561-2024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45388</v>
      </c>
      <c r="E412" s="1" t="n">
        <v>46218</v>
      </c>
      <c r="F412" t="inlineStr">
        <is>
          <t>VÄSTRA GÖTALANDS LÄN</t>
        </is>
      </c>
      <c r="G412" t="inlineStr">
        <is>
          <t>MUNKEDAL</t>
        </is>
      </c>
      <c r="I412" t="n">
        <v>9.6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2558-2022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44697</v>
      </c>
      <c r="E413" s="1" t="n">
        <v>46218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2428-2024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45469</v>
      </c>
      <c r="E414" s="1" t="n">
        <v>46218</v>
      </c>
      <c r="F414" t="inlineStr">
        <is>
          <t>VÄSTRA GÖTALANDS LÄN</t>
        </is>
      </c>
      <c r="G414" t="inlineStr">
        <is>
          <t>MUNKEDAL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4047-2023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45240</v>
      </c>
      <c r="E415" s="1" t="n">
        <v>46218</v>
      </c>
      <c r="F415" t="inlineStr">
        <is>
          <t>VÄSTRA GÖTALANDS LÄN</t>
        </is>
      </c>
      <c r="G415" t="inlineStr">
        <is>
          <t>MUNKEDAL</t>
        </is>
      </c>
      <c r="I415" t="n">
        <v>17.1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1070-2025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45749</v>
      </c>
      <c r="E416" s="1" t="n">
        <v>46218</v>
      </c>
      <c r="F416" t="inlineStr">
        <is>
          <t>VÄSTRA GÖTALANDS LÄN</t>
        </is>
      </c>
      <c r="G416" t="inlineStr">
        <is>
          <t>MUNKEDAL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>
      <c r="A417" t="inlineStr">
        <is>
          <t>S 1617-2025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45799</v>
      </c>
      <c r="E417" s="1" t="n">
        <v>46218</v>
      </c>
      <c r="F417" t="inlineStr">
        <is>
          <t>VÄSTRA GÖTALANDS LÄN</t>
        </is>
      </c>
      <c r="G417" t="inlineStr">
        <is>
          <t>MUNKEDAL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2026-07-15T01:23:01Z</dcterms:created>
  <dcterms:modified xmlns:dcterms="http://purl.org/dc/terms/" xmlns:xsi="http://www.w3.org/2001/XMLSchema-instance" xsi:type="dcterms:W3CDTF">2026-07-15T01:23:02Z</dcterms:modified>
</cp:coreProperties>
</file>