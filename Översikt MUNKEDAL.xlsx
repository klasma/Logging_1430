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46216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V2">
        <f>HYPERLINK("https://klasma.github.io/Logging_1430/artfynd/A 33012-2024 artfynd.xlsx", "A 33012-2024")</f>
        <v/>
      </c>
      <c r="W2">
        <f>HYPERLINK("https://klasma.github.io/Logging_1430/kartor/A 33012-2024 karta.png", "A 33012-2024")</f>
        <v/>
      </c>
      <c r="X2">
        <f>HYPERLINK("https://klasma.github.io/Logging_1430/knärot/A 33012-2024 karta knärot.png", "A 33012-2024")</f>
        <v/>
      </c>
      <c r="Y2">
        <f>HYPERLINK("https://klasma.github.io/Logging_1430/klagomål/A 33012-2024 FSC-klagomål.docx", "A 33012-2024")</f>
        <v/>
      </c>
      <c r="Z2">
        <f>HYPERLINK("https://klasma.github.io/Logging_1430/klagomålsmail/A 33012-2024 FSC-klagomål mail.docx", "A 33012-2024")</f>
        <v/>
      </c>
      <c r="AA2">
        <f>HYPERLINK("https://klasma.github.io/Logging_1430/tillsyn/A 33012-2024 tillsynsbegäran.docx", "A 33012-2024")</f>
        <v/>
      </c>
      <c r="AB2">
        <f>HYPERLINK("https://klasma.github.io/Logging_1430/tillsynsmail/A 33012-2024 tillsynsbegäran mail.docx", "A 33012-2024")</f>
        <v/>
      </c>
      <c r="AC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46216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V3">
        <f>HYPERLINK("https://klasma.github.io/Logging_1430/artfynd/A 14156-2026 artfynd.xlsx", "A 14156-2026")</f>
        <v/>
      </c>
      <c r="W3">
        <f>HYPERLINK("https://klasma.github.io/Logging_1430/kartor/A 14156-2026 karta.png", "A 14156-2026")</f>
        <v/>
      </c>
      <c r="Y3">
        <f>HYPERLINK("https://klasma.github.io/Logging_1430/klagomål/A 14156-2026 FSC-klagomål.docx", "A 14156-2026")</f>
        <v/>
      </c>
      <c r="Z3">
        <f>HYPERLINK("https://klasma.github.io/Logging_1430/klagomålsmail/A 14156-2026 FSC-klagomål mail.docx", "A 14156-2026")</f>
        <v/>
      </c>
      <c r="AA3">
        <f>HYPERLINK("https://klasma.github.io/Logging_1430/tillsyn/A 14156-2026 tillsynsbegäran.docx", "A 14156-2026")</f>
        <v/>
      </c>
      <c r="AB3">
        <f>HYPERLINK("https://klasma.github.io/Logging_1430/tillsynsmail/A 14156-2026 tillsynsbegäran mail.docx", "A 14156-2026")</f>
        <v/>
      </c>
      <c r="AC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46216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s="2" t="inlineStr">
        <is>
          <t>Dropptaggsvamp
Kattfotslav
Havstulpanlav
Kornknutmossa
Rävticka
Stor aspticka
Vågbandad barkbock
Spillkråka</t>
        </is>
      </c>
      <c r="V4">
        <f>HYPERLINK("https://klasma.github.io/Logging_1430/artfynd/A 56336-2024 artfynd.xlsx", "A 56336-2024")</f>
        <v/>
      </c>
      <c r="W4">
        <f>HYPERLINK("https://klasma.github.io/Logging_1430/kartor/A 56336-2024 karta.png", "A 56336-2024")</f>
        <v/>
      </c>
      <c r="Y4">
        <f>HYPERLINK("https://klasma.github.io/Logging_1430/klagomål/A 56336-2024 FSC-klagomål.docx", "A 56336-2024")</f>
        <v/>
      </c>
      <c r="Z4">
        <f>HYPERLINK("https://klasma.github.io/Logging_1430/klagomålsmail/A 56336-2024 FSC-klagomål mail.docx", "A 56336-2024")</f>
        <v/>
      </c>
      <c r="AA4">
        <f>HYPERLINK("https://klasma.github.io/Logging_1430/tillsyn/A 56336-2024 tillsynsbegäran.docx", "A 56336-2024")</f>
        <v/>
      </c>
      <c r="AB4">
        <f>HYPERLINK("https://klasma.github.io/Logging_1430/tillsynsmail/A 56336-2024 tillsynsbegäran mail.docx", "A 56336-2024")</f>
        <v/>
      </c>
      <c r="AC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46216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s="2" t="inlineStr">
        <is>
          <t>Blåmossa
Mindre märgborre
Trädporella
Mattlummer
Spillkråka
Revlummer</t>
        </is>
      </c>
      <c r="V5">
        <f>HYPERLINK("https://klasma.github.io/Logging_1430/artfynd/A 2975-2022 artfynd.xlsx", "A 2975-2022")</f>
        <v/>
      </c>
      <c r="W5">
        <f>HYPERLINK("https://klasma.github.io/Logging_1430/kartor/A 2975-2022 karta.png", "A 2975-2022")</f>
        <v/>
      </c>
      <c r="Y5">
        <f>HYPERLINK("https://klasma.github.io/Logging_1430/klagomål/A 2975-2022 FSC-klagomål.docx", "A 2975-2022")</f>
        <v/>
      </c>
      <c r="Z5">
        <f>HYPERLINK("https://klasma.github.io/Logging_1430/klagomålsmail/A 2975-2022 FSC-klagomål mail.docx", "A 2975-2022")</f>
        <v/>
      </c>
      <c r="AA5">
        <f>HYPERLINK("https://klasma.github.io/Logging_1430/tillsyn/A 2975-2022 tillsynsbegäran.docx", "A 2975-2022")</f>
        <v/>
      </c>
      <c r="AB5">
        <f>HYPERLINK("https://klasma.github.io/Logging_1430/tillsynsmail/A 2975-2022 tillsynsbegäran mail.docx", "A 2975-2022")</f>
        <v/>
      </c>
      <c r="AC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46216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s="2" t="inlineStr">
        <is>
          <t>Spillkråka
Tjäder
Revlummer</t>
        </is>
      </c>
      <c r="V6">
        <f>HYPERLINK("https://klasma.github.io/Logging_1430/artfynd/A 14261-2026 artfynd.xlsx", "A 14261-2026")</f>
        <v/>
      </c>
      <c r="W6">
        <f>HYPERLINK("https://klasma.github.io/Logging_1430/kartor/A 14261-2026 karta.png", "A 14261-2026")</f>
        <v/>
      </c>
      <c r="Y6">
        <f>HYPERLINK("https://klasma.github.io/Logging_1430/klagomål/A 14261-2026 FSC-klagomål.docx", "A 14261-2026")</f>
        <v/>
      </c>
      <c r="Z6">
        <f>HYPERLINK("https://klasma.github.io/Logging_1430/klagomålsmail/A 14261-2026 FSC-klagomål mail.docx", "A 14261-2026")</f>
        <v/>
      </c>
      <c r="AA6">
        <f>HYPERLINK("https://klasma.github.io/Logging_1430/tillsyn/A 14261-2026 tillsynsbegäran.docx", "A 14261-2026")</f>
        <v/>
      </c>
      <c r="AB6">
        <f>HYPERLINK("https://klasma.github.io/Logging_1430/tillsynsmail/A 14261-2026 tillsynsbegäran mail.docx", "A 14261-2026")</f>
        <v/>
      </c>
      <c r="AC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46216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Svart trolldruva
Blåsippa</t>
        </is>
      </c>
      <c r="V7">
        <f>HYPERLINK("https://klasma.github.io/Logging_1430/artfynd/A 2531-2024 artfynd.xlsx", "A 2531-2024")</f>
        <v/>
      </c>
      <c r="W7">
        <f>HYPERLINK("https://klasma.github.io/Logging_1430/kartor/A 2531-2024 karta.png", "A 2531-2024")</f>
        <v/>
      </c>
      <c r="Y7">
        <f>HYPERLINK("https://klasma.github.io/Logging_1430/klagomål/A 2531-2024 FSC-klagomål.docx", "A 2531-2024")</f>
        <v/>
      </c>
      <c r="Z7">
        <f>HYPERLINK("https://klasma.github.io/Logging_1430/klagomålsmail/A 2531-2024 FSC-klagomål mail.docx", "A 2531-2024")</f>
        <v/>
      </c>
      <c r="AA7">
        <f>HYPERLINK("https://klasma.github.io/Logging_1430/tillsyn/A 2531-2024 tillsynsbegäran.docx", "A 2531-2024")</f>
        <v/>
      </c>
      <c r="AB7">
        <f>HYPERLINK("https://klasma.github.io/Logging_1430/tillsynsmail/A 2531-2024 tillsynsbegäran mail.docx", "A 2531-2024")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46216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Svart trolldruva
Blåsippa</t>
        </is>
      </c>
      <c r="V8">
        <f>HYPERLINK("https://klasma.github.io/Logging_1430/artfynd/A 25957-2025 artfynd.xlsx", "A 25957-2025")</f>
        <v/>
      </c>
      <c r="W8">
        <f>HYPERLINK("https://klasma.github.io/Logging_1430/kartor/A 25957-2025 karta.png", "A 25957-2025")</f>
        <v/>
      </c>
      <c r="Y8">
        <f>HYPERLINK("https://klasma.github.io/Logging_1430/klagomål/A 25957-2025 FSC-klagomål.docx", "A 25957-2025")</f>
        <v/>
      </c>
      <c r="Z8">
        <f>HYPERLINK("https://klasma.github.io/Logging_1430/klagomålsmail/A 25957-2025 FSC-klagomål mail.docx", "A 25957-2025")</f>
        <v/>
      </c>
      <c r="AA8">
        <f>HYPERLINK("https://klasma.github.io/Logging_1430/tillsyn/A 25957-2025 tillsynsbegäran.docx", "A 25957-2025")</f>
        <v/>
      </c>
      <c r="AB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46216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Svinrot
Fläcknycklar</t>
        </is>
      </c>
      <c r="V9">
        <f>HYPERLINK("https://klasma.github.io/Logging_1430/artfynd/A 56578-2025 artfynd.xlsx", "A 56578-2025")</f>
        <v/>
      </c>
      <c r="W9">
        <f>HYPERLINK("https://klasma.github.io/Logging_1430/kartor/A 56578-2025 karta.png", "A 56578-2025")</f>
        <v/>
      </c>
      <c r="Y9">
        <f>HYPERLINK("https://klasma.github.io/Logging_1430/klagomål/A 56578-2025 FSC-klagomål.docx", "A 56578-2025")</f>
        <v/>
      </c>
      <c r="Z9">
        <f>HYPERLINK("https://klasma.github.io/Logging_1430/klagomålsmail/A 56578-2025 FSC-klagomål mail.docx", "A 56578-2025")</f>
        <v/>
      </c>
      <c r="AA9">
        <f>HYPERLINK("https://klasma.github.io/Logging_1430/tillsyn/A 56578-2025 tillsynsbegäran.docx", "A 56578-2025")</f>
        <v/>
      </c>
      <c r="AB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46216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Havsörn
Gullviva</t>
        </is>
      </c>
      <c r="V10">
        <f>HYPERLINK("https://klasma.github.io/Logging_1430/artfynd/A 2539-2024 artfynd.xlsx", "A 2539-2024")</f>
        <v/>
      </c>
      <c r="W10">
        <f>HYPERLINK("https://klasma.github.io/Logging_1430/kartor/A 2539-2024 karta.png", "A 2539-2024")</f>
        <v/>
      </c>
      <c r="Y10">
        <f>HYPERLINK("https://klasma.github.io/Logging_1430/klagomål/A 2539-2024 FSC-klagomål.docx", "A 2539-2024")</f>
        <v/>
      </c>
      <c r="Z10">
        <f>HYPERLINK("https://klasma.github.io/Logging_1430/klagomålsmail/A 2539-2024 FSC-klagomål mail.docx", "A 2539-2024")</f>
        <v/>
      </c>
      <c r="AA10">
        <f>HYPERLINK("https://klasma.github.io/Logging_1430/tillsyn/A 2539-2024 tillsynsbegäran.docx", "A 2539-2024")</f>
        <v/>
      </c>
      <c r="AB10">
        <f>HYPERLINK("https://klasma.github.io/Logging_1430/tillsynsmail/A 2539-2024 tillsynsbegäran mail.docx", "A 2539-2024")</f>
        <v/>
      </c>
      <c r="AC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46216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Dunmossa
Grön sköldmossa</t>
        </is>
      </c>
      <c r="V11">
        <f>HYPERLINK("https://klasma.github.io/Logging_1430/artfynd/A 16972-2022 artfynd.xlsx", "A 16972-2022")</f>
        <v/>
      </c>
      <c r="W11">
        <f>HYPERLINK("https://klasma.github.io/Logging_1430/kartor/A 16972-2022 karta.png", "A 16972-2022")</f>
        <v/>
      </c>
      <c r="Y11">
        <f>HYPERLINK("https://klasma.github.io/Logging_1430/klagomål/A 16972-2022 FSC-klagomål.docx", "A 16972-2022")</f>
        <v/>
      </c>
      <c r="Z11">
        <f>HYPERLINK("https://klasma.github.io/Logging_1430/klagomålsmail/A 16972-2022 FSC-klagomål mail.docx", "A 16972-2022")</f>
        <v/>
      </c>
      <c r="AA11">
        <f>HYPERLINK("https://klasma.github.io/Logging_1430/tillsyn/A 16972-2022 tillsynsbegäran.docx", "A 16972-2022")</f>
        <v/>
      </c>
      <c r="AB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46216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s="2" t="inlineStr">
        <is>
          <t>Slåttergubbe
Svinrot</t>
        </is>
      </c>
      <c r="V12">
        <f>HYPERLINK("https://klasma.github.io/Logging_1430/artfynd/A 2562-2025 artfynd.xlsx", "A 2562-2025")</f>
        <v/>
      </c>
      <c r="W12">
        <f>HYPERLINK("https://klasma.github.io/Logging_1430/kartor/A 2562-2025 karta.png", "A 2562-2025")</f>
        <v/>
      </c>
      <c r="Y12">
        <f>HYPERLINK("https://klasma.github.io/Logging_1430/klagomål/A 2562-2025 FSC-klagomål.docx", "A 2562-2025")</f>
        <v/>
      </c>
      <c r="Z12">
        <f>HYPERLINK("https://klasma.github.io/Logging_1430/klagomålsmail/A 2562-2025 FSC-klagomål mail.docx", "A 2562-2025")</f>
        <v/>
      </c>
      <c r="AA12">
        <f>HYPERLINK("https://klasma.github.io/Logging_1430/tillsyn/A 2562-2025 tillsynsbegäran.docx", "A 2562-2025")</f>
        <v/>
      </c>
      <c r="AB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46216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Kungsörn</t>
        </is>
      </c>
      <c r="V13">
        <f>HYPERLINK("https://klasma.github.io/Logging_1430/artfynd/A 59514-2021 artfynd.xlsx", "A 59514-2021")</f>
        <v/>
      </c>
      <c r="W13">
        <f>HYPERLINK("https://klasma.github.io/Logging_1430/kartor/A 59514-2021 karta.png", "A 59514-2021")</f>
        <v/>
      </c>
      <c r="Y13">
        <f>HYPERLINK("https://klasma.github.io/Logging_1430/klagomål/A 59514-2021 FSC-klagomål.docx", "A 59514-2021")</f>
        <v/>
      </c>
      <c r="Z13">
        <f>HYPERLINK("https://klasma.github.io/Logging_1430/klagomålsmail/A 59514-2021 FSC-klagomål mail.docx", "A 59514-2021")</f>
        <v/>
      </c>
      <c r="AA13">
        <f>HYPERLINK("https://klasma.github.io/Logging_1430/tillsyn/A 59514-2021 tillsynsbegäran.docx", "A 59514-2021")</f>
        <v/>
      </c>
      <c r="AB13">
        <f>HYPERLINK("https://klasma.github.io/Logging_1430/tillsynsmail/A 59514-2021 tillsynsbegäran mail.docx", "A 59514-2021")</f>
        <v/>
      </c>
      <c r="AC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46216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HYPERLINK("https://klasma.github.io/Logging_1430/artfynd/A 6545-2022 artfynd.xlsx", "A 6545-2022")</f>
        <v/>
      </c>
      <c r="W14">
        <f>HYPERLINK("https://klasma.github.io/Logging_1430/kartor/A 6545-2022 karta.png", "A 6545-2022")</f>
        <v/>
      </c>
      <c r="Y14">
        <f>HYPERLINK("https://klasma.github.io/Logging_1430/klagomål/A 6545-2022 FSC-klagomål.docx", "A 6545-2022")</f>
        <v/>
      </c>
      <c r="Z14">
        <f>HYPERLINK("https://klasma.github.io/Logging_1430/klagomålsmail/A 6545-2022 FSC-klagomål mail.docx", "A 6545-2022")</f>
        <v/>
      </c>
      <c r="AA14">
        <f>HYPERLINK("https://klasma.github.io/Logging_1430/tillsyn/A 6545-2022 tillsynsbegäran.docx", "A 6545-2022")</f>
        <v/>
      </c>
      <c r="AB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46216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HYPERLINK("https://klasma.github.io/Logging_1430/artfynd/A 19188-2022 artfynd.xlsx", "A 19188-2022")</f>
        <v/>
      </c>
      <c r="W15">
        <f>HYPERLINK("https://klasma.github.io/Logging_1430/kartor/A 19188-2022 karta.png", "A 19188-2022")</f>
        <v/>
      </c>
      <c r="Y15">
        <f>HYPERLINK("https://klasma.github.io/Logging_1430/klagomål/A 19188-2022 FSC-klagomål.docx", "A 19188-2022")</f>
        <v/>
      </c>
      <c r="Z15">
        <f>HYPERLINK("https://klasma.github.io/Logging_1430/klagomålsmail/A 19188-2022 FSC-klagomål mail.docx", "A 19188-2022")</f>
        <v/>
      </c>
      <c r="AA15">
        <f>HYPERLINK("https://klasma.github.io/Logging_1430/tillsyn/A 19188-2022 tillsynsbegäran.docx", "A 19188-2022")</f>
        <v/>
      </c>
      <c r="AB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46216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Jungfrulin</t>
        </is>
      </c>
      <c r="V16">
        <f>HYPERLINK("https://klasma.github.io/Logging_1430/artfynd/A 44893-2021 artfynd.xlsx", "A 44893-2021")</f>
        <v/>
      </c>
      <c r="W16">
        <f>HYPERLINK("https://klasma.github.io/Logging_1430/kartor/A 44893-2021 karta.png", "A 44893-2021")</f>
        <v/>
      </c>
      <c r="Y16">
        <f>HYPERLINK("https://klasma.github.io/Logging_1430/klagomål/A 44893-2021 FSC-klagomål.docx", "A 44893-2021")</f>
        <v/>
      </c>
      <c r="Z16">
        <f>HYPERLINK("https://klasma.github.io/Logging_1430/klagomålsmail/A 44893-2021 FSC-klagomål mail.docx", "A 44893-2021")</f>
        <v/>
      </c>
      <c r="AA16">
        <f>HYPERLINK("https://klasma.github.io/Logging_1430/tillsyn/A 44893-2021 tillsynsbegäran.docx", "A 44893-2021")</f>
        <v/>
      </c>
      <c r="AB16">
        <f>HYPERLINK("https://klasma.github.io/Logging_1430/tillsynsmail/A 44893-2021 tillsynsbegäran mail.docx", "A 44893-2021")</f>
        <v/>
      </c>
    </row>
    <row r="17" ht="15" customHeight="1">
      <c r="A17" t="inlineStr">
        <is>
          <t>A 45160-2024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45575</v>
      </c>
      <c r="E17" s="1" t="n">
        <v>46216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Naturvårdsverket</t>
        </is>
      </c>
      <c r="I17" t="n">
        <v>3.4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Spillkråka</t>
        </is>
      </c>
      <c r="V17">
        <f>HYPERLINK("https://klasma.github.io/Logging_1430/artfynd/A 45160-2024 artfynd.xlsx", "A 45160-2024")</f>
        <v/>
      </c>
      <c r="W17">
        <f>HYPERLINK("https://klasma.github.io/Logging_1430/kartor/A 45160-2024 karta.png", "A 45160-2024")</f>
        <v/>
      </c>
      <c r="Y17">
        <f>HYPERLINK("https://klasma.github.io/Logging_1430/klagomål/A 45160-2024 FSC-klagomål.docx", "A 45160-2024")</f>
        <v/>
      </c>
      <c r="Z17">
        <f>HYPERLINK("https://klasma.github.io/Logging_1430/klagomålsmail/A 45160-2024 FSC-klagomål mail.docx", "A 45160-2024")</f>
        <v/>
      </c>
      <c r="AA17">
        <f>HYPERLINK("https://klasma.github.io/Logging_1430/tillsyn/A 45160-2024 tillsynsbegäran.docx", "A 45160-2024")</f>
        <v/>
      </c>
      <c r="AB17">
        <f>HYPERLINK("https://klasma.github.io/Logging_1430/tillsynsmail/A 45160-2024 tillsynsbegäran mail.docx", "A 45160-2024")</f>
        <v/>
      </c>
      <c r="AC17">
        <f>HYPERLINK("https://klasma.github.io/Logging_1430/fåglar/A 45160-2024 prioriterade fågelarter.docx", "A 45160-2024")</f>
        <v/>
      </c>
    </row>
    <row r="18" ht="15" customHeight="1">
      <c r="A18" t="inlineStr">
        <is>
          <t>A 58890-2022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46216</v>
      </c>
      <c r="F18" t="inlineStr">
        <is>
          <t>VÄSTRA GÖTALANDS LÄN</t>
        </is>
      </c>
      <c r="G18" t="inlineStr">
        <is>
          <t>MUNKEDAL</t>
        </is>
      </c>
      <c r="I18" t="n">
        <v>5.4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Stor revmossa</t>
        </is>
      </c>
      <c r="V18">
        <f>HYPERLINK("https://klasma.github.io/Logging_1430/artfynd/A 58890-2022 artfynd.xlsx", "A 58890-2022")</f>
        <v/>
      </c>
      <c r="W18">
        <f>HYPERLINK("https://klasma.github.io/Logging_1430/kartor/A 58890-2022 karta.png", "A 58890-2022")</f>
        <v/>
      </c>
      <c r="Y18">
        <f>HYPERLINK("https://klasma.github.io/Logging_1430/klagomål/A 58890-2022 FSC-klagomål.docx", "A 58890-2022")</f>
        <v/>
      </c>
      <c r="Z18">
        <f>HYPERLINK("https://klasma.github.io/Logging_1430/klagomålsmail/A 58890-2022 FSC-klagomål mail.docx", "A 58890-2022")</f>
        <v/>
      </c>
      <c r="AA18">
        <f>HYPERLINK("https://klasma.github.io/Logging_1430/tillsyn/A 58890-2022 tillsynsbegäran.docx", "A 58890-2022")</f>
        <v/>
      </c>
      <c r="AB18">
        <f>HYPERLINK("https://klasma.github.io/Logging_1430/tillsynsmail/A 58890-2022 tillsynsbegäran mail.docx", "A 58890-2022")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46216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Spillkråka</t>
        </is>
      </c>
      <c r="V19">
        <f>HYPERLINK("https://klasma.github.io/Logging_1430/artfynd/A 9934-2023 artfynd.xlsx", "A 9934-2023")</f>
        <v/>
      </c>
      <c r="W19">
        <f>HYPERLINK("https://klasma.github.io/Logging_1430/kartor/A 9934-2023 karta.png", "A 9934-2023")</f>
        <v/>
      </c>
      <c r="Y19">
        <f>HYPERLINK("https://klasma.github.io/Logging_1430/klagomål/A 9934-2023 FSC-klagomål.docx", "A 9934-2023")</f>
        <v/>
      </c>
      <c r="Z19">
        <f>HYPERLINK("https://klasma.github.io/Logging_1430/klagomålsmail/A 9934-2023 FSC-klagomål mail.docx", "A 9934-2023")</f>
        <v/>
      </c>
      <c r="AA19">
        <f>HYPERLINK("https://klasma.github.io/Logging_1430/tillsyn/A 9934-2023 tillsynsbegäran.docx", "A 9934-2023")</f>
        <v/>
      </c>
      <c r="AB19">
        <f>HYPERLINK("https://klasma.github.io/Logging_1430/tillsynsmail/A 9934-2023 tillsynsbegäran mail.docx", "A 9934-2023")</f>
        <v/>
      </c>
      <c r="AC19">
        <f>HYPERLINK("https://klasma.github.io/Logging_1430/fåglar/A 9934-2023 prioriterade fågelarter.docx", "A 9934-2023")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46216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Svart trolldruva</t>
        </is>
      </c>
      <c r="V20">
        <f>HYPERLINK("https://klasma.github.io/Logging_1430/artfynd/A 2555-2023 artfynd.xlsx", "A 2555-2023")</f>
        <v/>
      </c>
      <c r="W20">
        <f>HYPERLINK("https://klasma.github.io/Logging_1430/kartor/A 2555-2023 karta.png", "A 2555-2023")</f>
        <v/>
      </c>
      <c r="Y20">
        <f>HYPERLINK("https://klasma.github.io/Logging_1430/klagomål/A 2555-2023 FSC-klagomål.docx", "A 2555-2023")</f>
        <v/>
      </c>
      <c r="Z20">
        <f>HYPERLINK("https://klasma.github.io/Logging_1430/klagomålsmail/A 2555-2023 FSC-klagomål mail.docx", "A 2555-2023")</f>
        <v/>
      </c>
      <c r="AA20">
        <f>HYPERLINK("https://klasma.github.io/Logging_1430/tillsyn/A 2555-2023 tillsynsbegäran.docx", "A 2555-2023")</f>
        <v/>
      </c>
      <c r="AB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46216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Svinrot</t>
        </is>
      </c>
      <c r="V21">
        <f>HYPERLINK("https://klasma.github.io/Logging_1430/artfynd/A 37035-2024 artfynd.xlsx", "A 37035-2024")</f>
        <v/>
      </c>
      <c r="W21">
        <f>HYPERLINK("https://klasma.github.io/Logging_1430/kartor/A 37035-2024 karta.png", "A 37035-2024")</f>
        <v/>
      </c>
      <c r="Y21">
        <f>HYPERLINK("https://klasma.github.io/Logging_1430/klagomål/A 37035-2024 FSC-klagomål.docx", "A 37035-2024")</f>
        <v/>
      </c>
      <c r="Z21">
        <f>HYPERLINK("https://klasma.github.io/Logging_1430/klagomålsmail/A 37035-2024 FSC-klagomål mail.docx", "A 37035-2024")</f>
        <v/>
      </c>
      <c r="AA21">
        <f>HYPERLINK("https://klasma.github.io/Logging_1430/tillsyn/A 37035-2024 tillsynsbegäran.docx", "A 37035-2024")</f>
        <v/>
      </c>
      <c r="AB21">
        <f>HYPERLINK("https://klasma.github.io/Logging_1430/tillsynsmail/A 37035-2024 tillsynsbegäran mail.docx", "A 37035-2024")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46216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Jaktfalk</t>
        </is>
      </c>
      <c r="V22">
        <f>HYPERLINK("https://klasma.github.io/Logging_1430/artfynd/A 36912-2023 artfynd.xlsx", "A 36912-2023")</f>
        <v/>
      </c>
      <c r="W22">
        <f>HYPERLINK("https://klasma.github.io/Logging_1430/kartor/A 36912-2023 karta.png", "A 36912-2023")</f>
        <v/>
      </c>
      <c r="Y22">
        <f>HYPERLINK("https://klasma.github.io/Logging_1430/klagomål/A 36912-2023 FSC-klagomål.docx", "A 36912-2023")</f>
        <v/>
      </c>
      <c r="Z22">
        <f>HYPERLINK("https://klasma.github.io/Logging_1430/klagomålsmail/A 36912-2023 FSC-klagomål mail.docx", "A 36912-2023")</f>
        <v/>
      </c>
      <c r="AA22">
        <f>HYPERLINK("https://klasma.github.io/Logging_1430/tillsyn/A 36912-2023 tillsynsbegäran.docx", "A 36912-2023")</f>
        <v/>
      </c>
      <c r="AB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46216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Mattlummer</t>
        </is>
      </c>
      <c r="V23">
        <f>HYPERLINK("https://klasma.github.io/Logging_1430/artfynd/A 1647-2025 artfynd.xlsx", "A 1647-2025")</f>
        <v/>
      </c>
      <c r="W23">
        <f>HYPERLINK("https://klasma.github.io/Logging_1430/kartor/A 1647-2025 karta.png", "A 1647-2025")</f>
        <v/>
      </c>
      <c r="Y23">
        <f>HYPERLINK("https://klasma.github.io/Logging_1430/klagomål/A 1647-2025 FSC-klagomål.docx", "A 1647-2025")</f>
        <v/>
      </c>
      <c r="Z23">
        <f>HYPERLINK("https://klasma.github.io/Logging_1430/klagomålsmail/A 1647-2025 FSC-klagomål mail.docx", "A 1647-2025")</f>
        <v/>
      </c>
      <c r="AA23">
        <f>HYPERLINK("https://klasma.github.io/Logging_1430/tillsyn/A 1647-2025 tillsynsbegäran.docx", "A 1647-2025")</f>
        <v/>
      </c>
      <c r="AB23">
        <f>HYPERLINK("https://klasma.github.io/Logging_1430/tillsynsmail/A 1647-2025 tillsynsbegäran mail.docx", "A 1647-2025")</f>
        <v/>
      </c>
    </row>
    <row r="24" ht="15" customHeight="1">
      <c r="A24" t="inlineStr">
        <is>
          <t>A 16618-2022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44672</v>
      </c>
      <c r="E24" s="1" t="n">
        <v>46216</v>
      </c>
      <c r="F24" t="inlineStr">
        <is>
          <t>VÄSTRA GÖTALANDS LÄN</t>
        </is>
      </c>
      <c r="G24" t="inlineStr">
        <is>
          <t>MUNKEDAL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s="2" t="inlineStr">
        <is>
          <t>Vanlig padda</t>
        </is>
      </c>
      <c r="V24">
        <f>HYPERLINK("https://klasma.github.io/Logging_1430/artfynd/A 16618-2022 artfynd.xlsx", "A 16618-2022")</f>
        <v/>
      </c>
      <c r="W24">
        <f>HYPERLINK("https://klasma.github.io/Logging_1430/kartor/A 16618-2022 karta.png", "A 16618-2022")</f>
        <v/>
      </c>
      <c r="Y24">
        <f>HYPERLINK("https://klasma.github.io/Logging_1430/klagomål/A 16618-2022 FSC-klagomål.docx", "A 16618-2022")</f>
        <v/>
      </c>
      <c r="Z24">
        <f>HYPERLINK("https://klasma.github.io/Logging_1430/klagomålsmail/A 16618-2022 FSC-klagomål mail.docx", "A 16618-2022")</f>
        <v/>
      </c>
      <c r="AA24">
        <f>HYPERLINK("https://klasma.github.io/Logging_1430/tillsyn/A 16618-2022 tillsynsbegäran.docx", "A 16618-2022")</f>
        <v/>
      </c>
      <c r="AB24">
        <f>HYPERLINK("https://klasma.github.io/Logging_1430/tillsynsmail/A 16618-2022 tillsynsbegäran mail.docx", "A 16618-2022")</f>
        <v/>
      </c>
    </row>
    <row r="25" ht="15" customHeight="1">
      <c r="A25" t="inlineStr">
        <is>
          <t>A 51398-2025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45947</v>
      </c>
      <c r="E25" s="1" t="n">
        <v>46216</v>
      </c>
      <c r="F25" t="inlineStr">
        <is>
          <t>VÄSTRA GÖTALANDS LÄN</t>
        </is>
      </c>
      <c r="G25" t="inlineStr">
        <is>
          <t>MUNKEDAL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Revlummer</t>
        </is>
      </c>
      <c r="V25">
        <f>HYPERLINK("https://klasma.github.io/Logging_1430/artfynd/A 51398-2025 artfynd.xlsx", "A 51398-2025")</f>
        <v/>
      </c>
      <c r="W25">
        <f>HYPERLINK("https://klasma.github.io/Logging_1430/kartor/A 51398-2025 karta.png", "A 51398-2025")</f>
        <v/>
      </c>
      <c r="Y25">
        <f>HYPERLINK("https://klasma.github.io/Logging_1430/klagomål/A 51398-2025 FSC-klagomål.docx", "A 51398-2025")</f>
        <v/>
      </c>
      <c r="Z25">
        <f>HYPERLINK("https://klasma.github.io/Logging_1430/klagomålsmail/A 51398-2025 FSC-klagomål mail.docx", "A 51398-2025")</f>
        <v/>
      </c>
      <c r="AA25">
        <f>HYPERLINK("https://klasma.github.io/Logging_1430/tillsyn/A 51398-2025 tillsynsbegäran.docx", "A 51398-2025")</f>
        <v/>
      </c>
      <c r="AB25">
        <f>HYPERLINK("https://klasma.github.io/Logging_1430/tillsynsmail/A 51398-2025 tillsynsbegäran mail.docx", "A 51398-2025")</f>
        <v/>
      </c>
    </row>
    <row r="26" ht="15" customHeight="1">
      <c r="A26" t="inlineStr">
        <is>
          <t>A 20258-2022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44698</v>
      </c>
      <c r="E26" s="1" t="n">
        <v>46216</v>
      </c>
      <c r="F26" t="inlineStr">
        <is>
          <t>VÄSTRA GÖTALANDS LÄN</t>
        </is>
      </c>
      <c r="G26" t="inlineStr">
        <is>
          <t>MUNKEDAL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Honungsvaxing</t>
        </is>
      </c>
      <c r="V26">
        <f>HYPERLINK("https://klasma.github.io/Logging_1430/artfynd/A 20258-2022 artfynd.xlsx", "A 20258-2022")</f>
        <v/>
      </c>
      <c r="W26">
        <f>HYPERLINK("https://klasma.github.io/Logging_1430/kartor/A 20258-2022 karta.png", "A 20258-2022")</f>
        <v/>
      </c>
      <c r="Y26">
        <f>HYPERLINK("https://klasma.github.io/Logging_1430/klagomål/A 20258-2022 FSC-klagomål.docx", "A 20258-2022")</f>
        <v/>
      </c>
      <c r="Z26">
        <f>HYPERLINK("https://klasma.github.io/Logging_1430/klagomålsmail/A 20258-2022 FSC-klagomål mail.docx", "A 20258-2022")</f>
        <v/>
      </c>
      <c r="AA26">
        <f>HYPERLINK("https://klasma.github.io/Logging_1430/tillsyn/A 20258-2022 tillsynsbegäran.docx", "A 20258-2022")</f>
        <v/>
      </c>
      <c r="AB26">
        <f>HYPERLINK("https://klasma.github.io/Logging_1430/tillsynsmail/A 20258-2022 tillsynsbegäran mail.docx", "A 20258-2022")</f>
        <v/>
      </c>
    </row>
    <row r="27" ht="15" customHeight="1">
      <c r="A27" t="inlineStr">
        <is>
          <t>A 62525-2021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46216</v>
      </c>
      <c r="F27" t="inlineStr">
        <is>
          <t>VÄSTRA GÖTALANDS LÄN</t>
        </is>
      </c>
      <c r="G27" t="inlineStr">
        <is>
          <t>MUNKEDAL</t>
        </is>
      </c>
      <c r="I27" t="n">
        <v>14.5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Trollsmultron</t>
        </is>
      </c>
      <c r="V27">
        <f>HYPERLINK("https://klasma.github.io/Logging_1430/artfynd/A 62525-2021 artfynd.xlsx", "A 62525-2021")</f>
        <v/>
      </c>
      <c r="W27">
        <f>HYPERLINK("https://klasma.github.io/Logging_1430/kartor/A 62525-2021 karta.png", "A 62525-2021")</f>
        <v/>
      </c>
      <c r="Y27">
        <f>HYPERLINK("https://klasma.github.io/Logging_1430/klagomål/A 62525-2021 FSC-klagomål.docx", "A 62525-2021")</f>
        <v/>
      </c>
      <c r="Z27">
        <f>HYPERLINK("https://klasma.github.io/Logging_1430/klagomålsmail/A 62525-2021 FSC-klagomål mail.docx", "A 62525-2021")</f>
        <v/>
      </c>
      <c r="AA27">
        <f>HYPERLINK("https://klasma.github.io/Logging_1430/tillsyn/A 62525-2021 tillsynsbegäran.docx", "A 62525-2021")</f>
        <v/>
      </c>
      <c r="AB27">
        <f>HYPERLINK("https://klasma.github.io/Logging_1430/tillsynsmail/A 62525-2021 tillsynsbegäran mail.docx", "A 62525-2021")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46216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Krusfrö</t>
        </is>
      </c>
      <c r="V28">
        <f>HYPERLINK("https://klasma.github.io/Logging_1430/artfynd/A 2887-2025 artfynd.xlsx", "A 2887-2025")</f>
        <v/>
      </c>
      <c r="W28">
        <f>HYPERLINK("https://klasma.github.io/Logging_1430/kartor/A 2887-2025 karta.png", "A 2887-2025")</f>
        <v/>
      </c>
      <c r="Y28">
        <f>HYPERLINK("https://klasma.github.io/Logging_1430/klagomål/A 2887-2025 FSC-klagomål.docx", "A 2887-2025")</f>
        <v/>
      </c>
      <c r="Z28">
        <f>HYPERLINK("https://klasma.github.io/Logging_1430/klagomålsmail/A 2887-2025 FSC-klagomål mail.docx", "A 2887-2025")</f>
        <v/>
      </c>
      <c r="AA28">
        <f>HYPERLINK("https://klasma.github.io/Logging_1430/tillsyn/A 2887-2025 tillsynsbegäran.docx", "A 2887-2025")</f>
        <v/>
      </c>
      <c r="AB28">
        <f>HYPERLINK("https://klasma.github.io/Logging_1430/tillsynsmail/A 2887-2025 tillsynsbegäran mail.docx", "A 2887-2025")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46216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Blåsippa</t>
        </is>
      </c>
      <c r="V29">
        <f>HYPERLINK("https://klasma.github.io/Logging_1430/artfynd/A 23065-2026 artfynd.xlsx", "A 23065-2026")</f>
        <v/>
      </c>
      <c r="W29">
        <f>HYPERLINK("https://klasma.github.io/Logging_1430/kartor/A 23065-2026 karta.png", "A 23065-2026")</f>
        <v/>
      </c>
      <c r="Y29">
        <f>HYPERLINK("https://klasma.github.io/Logging_1430/klagomål/A 23065-2026 FSC-klagomål.docx", "A 23065-2026")</f>
        <v/>
      </c>
      <c r="Z29">
        <f>HYPERLINK("https://klasma.github.io/Logging_1430/klagomålsmail/A 23065-2026 FSC-klagomål mail.docx", "A 23065-2026")</f>
        <v/>
      </c>
      <c r="AA29">
        <f>HYPERLINK("https://klasma.github.io/Logging_1430/tillsyn/A 23065-2026 tillsynsbegäran.docx", "A 23065-2026")</f>
        <v/>
      </c>
      <c r="AB29">
        <f>HYPERLINK("https://klasma.github.io/Logging_1430/tillsynsmail/A 23065-2026 tillsynsbegäran mail.docx", "A 23065-2026")</f>
        <v/>
      </c>
    </row>
    <row r="30" ht="15" customHeight="1">
      <c r="A30" t="inlineStr">
        <is>
          <t>A 22963-2026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46160</v>
      </c>
      <c r="E30" s="1" t="n">
        <v>46216</v>
      </c>
      <c r="F30" t="inlineStr">
        <is>
          <t>VÄSTRA GÖTALANDS LÄN</t>
        </is>
      </c>
      <c r="G30" t="inlineStr">
        <is>
          <t>MUNKEDAL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Blåsippa</t>
        </is>
      </c>
      <c r="V30">
        <f>HYPERLINK("https://klasma.github.io/Logging_1430/artfynd/A 22963-2026 artfynd.xlsx", "A 22963-2026")</f>
        <v/>
      </c>
      <c r="W30">
        <f>HYPERLINK("https://klasma.github.io/Logging_1430/kartor/A 22963-2026 karta.png", "A 22963-2026")</f>
        <v/>
      </c>
      <c r="Y30">
        <f>HYPERLINK("https://klasma.github.io/Logging_1430/klagomål/A 22963-2026 FSC-klagomål.docx", "A 22963-2026")</f>
        <v/>
      </c>
      <c r="Z30">
        <f>HYPERLINK("https://klasma.github.io/Logging_1430/klagomålsmail/A 22963-2026 FSC-klagomål mail.docx", "A 22963-2026")</f>
        <v/>
      </c>
      <c r="AA30">
        <f>HYPERLINK("https://klasma.github.io/Logging_1430/tillsyn/A 22963-2026 tillsynsbegäran.docx", "A 22963-2026")</f>
        <v/>
      </c>
      <c r="AB30">
        <f>HYPERLINK("https://klasma.github.io/Logging_1430/tillsynsmail/A 22963-2026 tillsynsbegäran mail.docx", "A 22963-2026")</f>
        <v/>
      </c>
    </row>
    <row r="31" ht="15" customHeight="1">
      <c r="A31" t="inlineStr">
        <is>
          <t>A 45083-2024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46216</v>
      </c>
      <c r="F31" t="inlineStr">
        <is>
          <t>VÄSTRA GÖTALANDS LÄN</t>
        </is>
      </c>
      <c r="G31" t="inlineStr">
        <is>
          <t>MUNKEDAL</t>
        </is>
      </c>
      <c r="I31" t="n">
        <v>2.7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Svinrot</t>
        </is>
      </c>
      <c r="V31">
        <f>HYPERLINK("https://klasma.github.io/Logging_1430/artfynd/A 45083-2024 artfynd.xlsx", "A 45083-2024")</f>
        <v/>
      </c>
      <c r="W31">
        <f>HYPERLINK("https://klasma.github.io/Logging_1430/kartor/A 45083-2024 karta.png", "A 45083-2024")</f>
        <v/>
      </c>
      <c r="Y31">
        <f>HYPERLINK("https://klasma.github.io/Logging_1430/klagomål/A 45083-2024 FSC-klagomål.docx", "A 45083-2024")</f>
        <v/>
      </c>
      <c r="Z31">
        <f>HYPERLINK("https://klasma.github.io/Logging_1430/klagomålsmail/A 45083-2024 FSC-klagomål mail.docx", "A 45083-2024")</f>
        <v/>
      </c>
      <c r="AA31">
        <f>HYPERLINK("https://klasma.github.io/Logging_1430/tillsyn/A 45083-2024 tillsynsbegäran.docx", "A 45083-2024")</f>
        <v/>
      </c>
      <c r="AB31">
        <f>HYPERLINK("https://klasma.github.io/Logging_1430/tillsynsmail/A 45083-2024 tillsynsbegäran mail.docx", "A 45083-2024")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46216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Havsörn</t>
        </is>
      </c>
      <c r="V32">
        <f>HYPERLINK("https://klasma.github.io/Logging_1430/artfynd/S 622-2024 artfynd.xlsx", "S 622-2024")</f>
        <v/>
      </c>
      <c r="W32">
        <f>HYPERLINK("https://klasma.github.io/Logging_1430/kartor/S 622-2024 karta.png", "S 622-2024")</f>
        <v/>
      </c>
      <c r="Y32">
        <f>HYPERLINK("https://klasma.github.io/Logging_1430/klagomål/S 622-2024 FSC-klagomål.docx", "S 622-2024")</f>
        <v/>
      </c>
      <c r="Z32">
        <f>HYPERLINK("https://klasma.github.io/Logging_1430/klagomålsmail/S 622-2024 FSC-klagomål mail.docx", "S 622-2024")</f>
        <v/>
      </c>
      <c r="AA32">
        <f>HYPERLINK("https://klasma.github.io/Logging_1430/tillsyn/S 622-2024 tillsynsbegäran.docx", "S 622-2024")</f>
        <v/>
      </c>
      <c r="AB32">
        <f>HYPERLINK("https://klasma.github.io/Logging_1430/tillsynsmail/S 622-2024 tillsynsbegäran mail.docx", "S 622-2024")</f>
        <v/>
      </c>
      <c r="AC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46216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46216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46216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46216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46216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46216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46216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46216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46216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46216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46216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46216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46216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46216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46216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46216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46216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46216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46216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46216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46216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46216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46216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46216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46216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46216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46216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68596-2021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46216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50336-2021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46216</v>
      </c>
      <c r="F61" t="inlineStr">
        <is>
          <t>VÄSTRA GÖTALANDS LÄN</t>
        </is>
      </c>
      <c r="G61" t="inlineStr">
        <is>
          <t>MUNKEDAL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44683</v>
      </c>
      <c r="E62" s="1" t="n">
        <v>46216</v>
      </c>
      <c r="F62" t="inlineStr">
        <is>
          <t>VÄSTRA GÖTALANDS LÄN</t>
        </is>
      </c>
      <c r="G62" t="inlineStr">
        <is>
          <t>MUNKEDAL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46216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46216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46216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3708-2024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46216</v>
      </c>
      <c r="F66" t="inlineStr">
        <is>
          <t>VÄSTRA GÖTALANDS LÄN</t>
        </is>
      </c>
      <c r="G66" t="inlineStr">
        <is>
          <t>MUNKEDAL</t>
        </is>
      </c>
      <c r="I66" t="n">
        <v>20.2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49574-2024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46216</v>
      </c>
      <c r="F67" t="inlineStr">
        <is>
          <t>VÄSTRA GÖTALANDS LÄN</t>
        </is>
      </c>
      <c r="G67" t="inlineStr">
        <is>
          <t>MUNKEDAL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49576-2024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46216</v>
      </c>
      <c r="F68" t="inlineStr">
        <is>
          <t>VÄSTRA GÖTALANDS LÄN</t>
        </is>
      </c>
      <c r="G68" t="inlineStr">
        <is>
          <t>MUNKEDAL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44929</v>
      </c>
      <c r="E69" s="1" t="n">
        <v>46216</v>
      </c>
      <c r="F69" t="inlineStr">
        <is>
          <t>VÄSTRA GÖTALANDS LÄN</t>
        </is>
      </c>
      <c r="G69" t="inlineStr">
        <is>
          <t>MUNKEDAL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58066-2021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46216</v>
      </c>
      <c r="F70" t="inlineStr">
        <is>
          <t>VÄSTRA GÖTALANDS LÄN</t>
        </is>
      </c>
      <c r="G70" t="inlineStr">
        <is>
          <t>MUNKEDAL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29956-2024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45488</v>
      </c>
      <c r="E71" s="1" t="n">
        <v>46216</v>
      </c>
      <c r="F71" t="inlineStr">
        <is>
          <t>VÄSTRA GÖTALANDS LÄN</t>
        </is>
      </c>
      <c r="G71" t="inlineStr">
        <is>
          <t>MUNKEDAL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29959-2024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45488</v>
      </c>
      <c r="E72" s="1" t="n">
        <v>46216</v>
      </c>
      <c r="F72" t="inlineStr">
        <is>
          <t>VÄSTRA GÖTALANDS LÄN</t>
        </is>
      </c>
      <c r="G72" t="inlineStr">
        <is>
          <t>MUNKEDAL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46216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Kyrkan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15466-2025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45747</v>
      </c>
      <c r="E74" s="1" t="n">
        <v>46216</v>
      </c>
      <c r="F74" t="inlineStr">
        <is>
          <t>VÄSTRA GÖTALANDS LÄN</t>
        </is>
      </c>
      <c r="G74" t="inlineStr">
        <is>
          <t>MUNKEDAL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3858-2024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45322</v>
      </c>
      <c r="E75" s="1" t="n">
        <v>46216</v>
      </c>
      <c r="F75" t="inlineStr">
        <is>
          <t>VÄSTRA GÖTALANDS LÄN</t>
        </is>
      </c>
      <c r="G75" t="inlineStr">
        <is>
          <t>MUNKEDAL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56789-2021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44481</v>
      </c>
      <c r="E76" s="1" t="n">
        <v>46216</v>
      </c>
      <c r="F76" t="inlineStr">
        <is>
          <t>VÄSTRA GÖTALANDS LÄN</t>
        </is>
      </c>
      <c r="G76" t="inlineStr">
        <is>
          <t>MUNKEDAL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27644-2023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46216</v>
      </c>
      <c r="F77" t="inlineStr">
        <is>
          <t>VÄSTRA GÖTALANDS LÄN</t>
        </is>
      </c>
      <c r="G77" t="inlineStr">
        <is>
          <t>MUNKEDAL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60228-2024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45640</v>
      </c>
      <c r="E78" s="1" t="n">
        <v>46216</v>
      </c>
      <c r="F78" t="inlineStr">
        <is>
          <t>VÄSTRA GÖTALANDS LÄN</t>
        </is>
      </c>
      <c r="G78" t="inlineStr">
        <is>
          <t>MUNKEDAL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35647-2023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45147</v>
      </c>
      <c r="E79" s="1" t="n">
        <v>46216</v>
      </c>
      <c r="F79" t="inlineStr">
        <is>
          <t>VÄSTRA GÖTALANDS LÄN</t>
        </is>
      </c>
      <c r="G79" t="inlineStr">
        <is>
          <t>MUNKEDAL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28393-2022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46216</v>
      </c>
      <c r="F80" t="inlineStr">
        <is>
          <t>VÄSTRA GÖTALANDS LÄN</t>
        </is>
      </c>
      <c r="G80" t="inlineStr">
        <is>
          <t>MUNKEDAL</t>
        </is>
      </c>
      <c r="I80" t="n">
        <v>9.800000000000001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28678-2024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45478</v>
      </c>
      <c r="E81" s="1" t="n">
        <v>46216</v>
      </c>
      <c r="F81" t="inlineStr">
        <is>
          <t>VÄSTRA GÖTALANDS LÄN</t>
        </is>
      </c>
      <c r="G81" t="inlineStr">
        <is>
          <t>MUNKEDAL</t>
        </is>
      </c>
      <c r="I81" t="n">
        <v>8.4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56892-2023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45244</v>
      </c>
      <c r="E82" s="1" t="n">
        <v>46216</v>
      </c>
      <c r="F82" t="inlineStr">
        <is>
          <t>VÄSTRA GÖTALANDS LÄN</t>
        </is>
      </c>
      <c r="G82" t="inlineStr">
        <is>
          <t>MUNKEDAL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13658-2025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45736</v>
      </c>
      <c r="E83" s="1" t="n">
        <v>46216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Övriga Aktiebolag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4029-2025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45684</v>
      </c>
      <c r="E84" s="1" t="n">
        <v>46216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Kommuner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15853-2023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45022</v>
      </c>
      <c r="E85" s="1" t="n">
        <v>46216</v>
      </c>
      <c r="F85" t="inlineStr">
        <is>
          <t>VÄSTRA GÖTALANDS LÄN</t>
        </is>
      </c>
      <c r="G85" t="inlineStr">
        <is>
          <t>MUNKEDAL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36891-2023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45154</v>
      </c>
      <c r="E86" s="1" t="n">
        <v>46216</v>
      </c>
      <c r="F86" t="inlineStr">
        <is>
          <t>VÄSTRA GÖTALANDS LÄN</t>
        </is>
      </c>
      <c r="G86" t="inlineStr">
        <is>
          <t>MUNKEDAL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37389-2024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45540</v>
      </c>
      <c r="E87" s="1" t="n">
        <v>46216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39163-2023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46216</v>
      </c>
      <c r="F88" t="inlineStr">
        <is>
          <t>VÄSTRA GÖTALANDS LÄN</t>
        </is>
      </c>
      <c r="G88" t="inlineStr">
        <is>
          <t>MUNKEDAL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16105-2025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45750</v>
      </c>
      <c r="E89" s="1" t="n">
        <v>46216</v>
      </c>
      <c r="F89" t="inlineStr">
        <is>
          <t>VÄSTRA GÖTALANDS LÄN</t>
        </is>
      </c>
      <c r="G89" t="inlineStr">
        <is>
          <t>MUNKEDAL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62090-2023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46216</v>
      </c>
      <c r="F90" t="inlineStr">
        <is>
          <t>VÄSTRA GÖTALANDS LÄN</t>
        </is>
      </c>
      <c r="G90" t="inlineStr">
        <is>
          <t>MUNKEDAL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24809-2023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45084</v>
      </c>
      <c r="E91" s="1" t="n">
        <v>46216</v>
      </c>
      <c r="F91" t="inlineStr">
        <is>
          <t>VÄSTRA GÖTALANDS LÄN</t>
        </is>
      </c>
      <c r="G91" t="inlineStr">
        <is>
          <t>MUNKEDAL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46216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21.7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11812-2025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46216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Kommuner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45293</v>
      </c>
      <c r="E94" s="1" t="n">
        <v>46216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Övriga Aktiebolag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51411-2022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44866</v>
      </c>
      <c r="E95" s="1" t="n">
        <v>46216</v>
      </c>
      <c r="F95" t="inlineStr">
        <is>
          <t>VÄSTRA GÖTALANDS LÄN</t>
        </is>
      </c>
      <c r="G95" t="inlineStr">
        <is>
          <t>MUNKEDAL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53891-2023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45231</v>
      </c>
      <c r="E96" s="1" t="n">
        <v>46216</v>
      </c>
      <c r="F96" t="inlineStr">
        <is>
          <t>VÄSTRA GÖTALANDS LÄN</t>
        </is>
      </c>
      <c r="G96" t="inlineStr">
        <is>
          <t>MUNKEDAL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25406-2025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46216</v>
      </c>
      <c r="F97" t="inlineStr">
        <is>
          <t>VÄSTRA GÖTALANDS LÄN</t>
        </is>
      </c>
      <c r="G97" t="inlineStr">
        <is>
          <t>MUNKEDAL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25607-2025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45803</v>
      </c>
      <c r="E98" s="1" t="n">
        <v>46216</v>
      </c>
      <c r="F98" t="inlineStr">
        <is>
          <t>VÄSTRA GÖTALANDS LÄN</t>
        </is>
      </c>
      <c r="G98" t="inlineStr">
        <is>
          <t>MUNKEDAL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61377-2023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45264</v>
      </c>
      <c r="E99" s="1" t="n">
        <v>46216</v>
      </c>
      <c r="F99" t="inlineStr">
        <is>
          <t>VÄSTRA GÖTALANDS LÄN</t>
        </is>
      </c>
      <c r="G99" t="inlineStr">
        <is>
          <t>MUNKEDAL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30308-2022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46216</v>
      </c>
      <c r="F100" t="inlineStr">
        <is>
          <t>VÄSTRA GÖTALANDS LÄN</t>
        </is>
      </c>
      <c r="G100" t="inlineStr">
        <is>
          <t>MUNKEDAL</t>
        </is>
      </c>
      <c r="I100" t="n">
        <v>8.300000000000001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11425-2022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46216</v>
      </c>
      <c r="F101" t="inlineStr">
        <is>
          <t>VÄSTRA GÖTALANDS LÄN</t>
        </is>
      </c>
      <c r="G101" t="inlineStr">
        <is>
          <t>MUNKEDAL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38592-2025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46216</v>
      </c>
      <c r="F102" t="inlineStr">
        <is>
          <t>VÄSTRA GÖTALANDS LÄN</t>
        </is>
      </c>
      <c r="G102" t="inlineStr">
        <is>
          <t>MUNKEDAL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1204-2026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46030</v>
      </c>
      <c r="E103" s="1" t="n">
        <v>46216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Övriga Aktiebolag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19631-2022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44694</v>
      </c>
      <c r="E104" s="1" t="n">
        <v>46216</v>
      </c>
      <c r="F104" t="inlineStr">
        <is>
          <t>VÄSTRA GÖTALANDS LÄN</t>
        </is>
      </c>
      <c r="G104" t="inlineStr">
        <is>
          <t>MUNKEDAL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56867-2024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45625</v>
      </c>
      <c r="E105" s="1" t="n">
        <v>46216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Kyrkan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23871-2024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45455</v>
      </c>
      <c r="E106" s="1" t="n">
        <v>46216</v>
      </c>
      <c r="F106" t="inlineStr">
        <is>
          <t>VÄSTRA GÖTALANDS LÄN</t>
        </is>
      </c>
      <c r="G106" t="inlineStr">
        <is>
          <t>MUNKEDAL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28397-2025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45819</v>
      </c>
      <c r="E107" s="1" t="n">
        <v>46216</v>
      </c>
      <c r="F107" t="inlineStr">
        <is>
          <t>VÄSTRA GÖTALANDS LÄN</t>
        </is>
      </c>
      <c r="G107" t="inlineStr">
        <is>
          <t>MUNKEDAL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40647-2024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45557</v>
      </c>
      <c r="E108" s="1" t="n">
        <v>46216</v>
      </c>
      <c r="F108" t="inlineStr">
        <is>
          <t>VÄSTRA GÖTALANDS LÄN</t>
        </is>
      </c>
      <c r="G108" t="inlineStr">
        <is>
          <t>MUNKEDAL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46035</v>
      </c>
      <c r="E109" s="1" t="n">
        <v>46216</v>
      </c>
      <c r="F109" t="inlineStr">
        <is>
          <t>VÄSTRA GÖTALANDS LÄN</t>
        </is>
      </c>
      <c r="G109" t="inlineStr">
        <is>
          <t>MUNKEDAL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26076-2025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46216</v>
      </c>
      <c r="F110" t="inlineStr">
        <is>
          <t>VÄSTRA GÖTALANDS LÄN</t>
        </is>
      </c>
      <c r="G110" t="inlineStr">
        <is>
          <t>MUNKEDAL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38977-2025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45887</v>
      </c>
      <c r="E111" s="1" t="n">
        <v>46216</v>
      </c>
      <c r="F111" t="inlineStr">
        <is>
          <t>VÄSTRA GÖTALANDS LÄN</t>
        </is>
      </c>
      <c r="G111" t="inlineStr">
        <is>
          <t>MUNKEDAL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46216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Naturvårdsverket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24150-2023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45076</v>
      </c>
      <c r="E113" s="1" t="n">
        <v>46216</v>
      </c>
      <c r="F113" t="inlineStr">
        <is>
          <t>VÄSTRA GÖTALANDS LÄN</t>
        </is>
      </c>
      <c r="G113" t="inlineStr">
        <is>
          <t>MUNKEDAL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16420-2023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45029</v>
      </c>
      <c r="E114" s="1" t="n">
        <v>46216</v>
      </c>
      <c r="F114" t="inlineStr">
        <is>
          <t>VÄSTRA GÖTALANDS LÄN</t>
        </is>
      </c>
      <c r="G114" t="inlineStr">
        <is>
          <t>MUNKEDAL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1526-2023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44935</v>
      </c>
      <c r="E115" s="1" t="n">
        <v>46216</v>
      </c>
      <c r="F115" t="inlineStr">
        <is>
          <t>VÄSTRA GÖTALANDS LÄN</t>
        </is>
      </c>
      <c r="G115" t="inlineStr">
        <is>
          <t>MUNKEDAL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40476-2025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46216</v>
      </c>
      <c r="F116" t="inlineStr">
        <is>
          <t>VÄSTRA GÖTALANDS LÄN</t>
        </is>
      </c>
      <c r="G116" t="inlineStr">
        <is>
          <t>MUNKEDAL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40431-2025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45895</v>
      </c>
      <c r="E117" s="1" t="n">
        <v>46216</v>
      </c>
      <c r="F117" t="inlineStr">
        <is>
          <t>VÄSTRA GÖTALANDS LÄN</t>
        </is>
      </c>
      <c r="G117" t="inlineStr">
        <is>
          <t>MUNKEDAL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9748-2023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44984</v>
      </c>
      <c r="E118" s="1" t="n">
        <v>46216</v>
      </c>
      <c r="F118" t="inlineStr">
        <is>
          <t>VÄSTRA GÖTALANDS LÄN</t>
        </is>
      </c>
      <c r="G118" t="inlineStr">
        <is>
          <t>MUNKEDAL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54866-2024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45618</v>
      </c>
      <c r="E119" s="1" t="n">
        <v>46216</v>
      </c>
      <c r="F119" t="inlineStr">
        <is>
          <t>VÄSTRA GÖTALANDS LÄN</t>
        </is>
      </c>
      <c r="G119" t="inlineStr">
        <is>
          <t>MUNKEDAL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40707-2025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46216</v>
      </c>
      <c r="F120" t="inlineStr">
        <is>
          <t>VÄSTRA GÖTALANDS LÄN</t>
        </is>
      </c>
      <c r="G120" t="inlineStr">
        <is>
          <t>MUNKEDAL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37327-2022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46216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25.2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46035</v>
      </c>
      <c r="E122" s="1" t="n">
        <v>46216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Övriga Aktiebolag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41382-2025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46216</v>
      </c>
      <c r="F123" t="inlineStr">
        <is>
          <t>VÄSTRA GÖTALANDS LÄN</t>
        </is>
      </c>
      <c r="G123" t="inlineStr">
        <is>
          <t>MUNKEDAL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29305-2025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46216</v>
      </c>
      <c r="F124" t="inlineStr">
        <is>
          <t>VÄSTRA GÖTALANDS LÄN</t>
        </is>
      </c>
      <c r="G124" t="inlineStr">
        <is>
          <t>MUNKEDAL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30031-2025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46216</v>
      </c>
      <c r="F125" t="inlineStr">
        <is>
          <t>VÄSTRA GÖTALANDS LÄN</t>
        </is>
      </c>
      <c r="G125" t="inlineStr">
        <is>
          <t>MUNKEDAL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41811-2025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45902</v>
      </c>
      <c r="E126" s="1" t="n">
        <v>46216</v>
      </c>
      <c r="F126" t="inlineStr">
        <is>
          <t>VÄSTRA GÖTALANDS LÄN</t>
        </is>
      </c>
      <c r="G126" t="inlineStr">
        <is>
          <t>MUNKEDAL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41813-2025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45902</v>
      </c>
      <c r="E127" s="1" t="n">
        <v>46216</v>
      </c>
      <c r="F127" t="inlineStr">
        <is>
          <t>VÄSTRA GÖTALANDS LÄN</t>
        </is>
      </c>
      <c r="G127" t="inlineStr">
        <is>
          <t>MUNKEDAL</t>
        </is>
      </c>
      <c r="I127" t="n">
        <v>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3312-2024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45317</v>
      </c>
      <c r="E128" s="1" t="n">
        <v>46216</v>
      </c>
      <c r="F128" t="inlineStr">
        <is>
          <t>VÄSTRA GÖTALANDS LÄN</t>
        </is>
      </c>
      <c r="G128" t="inlineStr">
        <is>
          <t>MUNKEDAL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30614-2025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46216</v>
      </c>
      <c r="F129" t="inlineStr">
        <is>
          <t>VÄSTRA GÖTALANDS LÄN</t>
        </is>
      </c>
      <c r="G129" t="inlineStr">
        <is>
          <t>MUNKEDAL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42252-2025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46216</v>
      </c>
      <c r="F130" t="inlineStr">
        <is>
          <t>VÄSTRA GÖTALANDS LÄN</t>
        </is>
      </c>
      <c r="G130" t="inlineStr">
        <is>
          <t>MUNKEDAL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43154-2025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46216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42836-2025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46216</v>
      </c>
      <c r="F132" t="inlineStr">
        <is>
          <t>VÄSTRA GÖTALANDS LÄN</t>
        </is>
      </c>
      <c r="G132" t="inlineStr">
        <is>
          <t>MUNKEDAL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42831-2025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46216</v>
      </c>
      <c r="F133" t="inlineStr">
        <is>
          <t>VÄSTRA GÖTALANDS LÄN</t>
        </is>
      </c>
      <c r="G133" t="inlineStr">
        <is>
          <t>MUNKEDAL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46216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Övriga Aktiebolag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43452-2025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46216</v>
      </c>
      <c r="F135" t="inlineStr">
        <is>
          <t>VÄSTRA GÖTALANDS LÄN</t>
        </is>
      </c>
      <c r="G135" t="inlineStr">
        <is>
          <t>MUNKEDAL</t>
        </is>
      </c>
      <c r="I135" t="n">
        <v>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43446-2025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46216</v>
      </c>
      <c r="F136" t="inlineStr">
        <is>
          <t>VÄSTRA GÖTALANDS LÄN</t>
        </is>
      </c>
      <c r="G136" t="inlineStr">
        <is>
          <t>MUNKEDAL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46418-2024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46216</v>
      </c>
      <c r="F137" t="inlineStr">
        <is>
          <t>VÄSTRA GÖTALANDS LÄN</t>
        </is>
      </c>
      <c r="G137" t="inlineStr">
        <is>
          <t>MUNKEDAL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31176-2025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46216</v>
      </c>
      <c r="F138" t="inlineStr">
        <is>
          <t>VÄSTRA GÖTALANDS LÄN</t>
        </is>
      </c>
      <c r="G138" t="inlineStr">
        <is>
          <t>MUNKEDAL</t>
        </is>
      </c>
      <c r="H138" t="inlineStr">
        <is>
          <t>Övriga Aktiebolag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20251-2022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46216</v>
      </c>
      <c r="F139" t="inlineStr">
        <is>
          <t>VÄSTRA GÖTALANDS LÄN</t>
        </is>
      </c>
      <c r="G139" t="inlineStr">
        <is>
          <t>MUNKEDAL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43834-2025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46216</v>
      </c>
      <c r="F140" t="inlineStr">
        <is>
          <t>VÄSTRA GÖTALANDS LÄN</t>
        </is>
      </c>
      <c r="G140" t="inlineStr">
        <is>
          <t>MUNKEDAL</t>
        </is>
      </c>
      <c r="H140" t="inlineStr">
        <is>
          <t>Övriga Aktiebolag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44453-2025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46216</v>
      </c>
      <c r="F141" t="inlineStr">
        <is>
          <t>VÄSTRA GÖTALANDS LÄN</t>
        </is>
      </c>
      <c r="G141" t="inlineStr">
        <is>
          <t>MUNKEDAL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44940-2025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45918</v>
      </c>
      <c r="E142" s="1" t="n">
        <v>46216</v>
      </c>
      <c r="F142" t="inlineStr">
        <is>
          <t>VÄSTRA GÖTALANDS LÄN</t>
        </is>
      </c>
      <c r="G142" t="inlineStr">
        <is>
          <t>MUNKEDAL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34083-2025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45845</v>
      </c>
      <c r="E143" s="1" t="n">
        <v>46216</v>
      </c>
      <c r="F143" t="inlineStr">
        <is>
          <t>VÄSTRA GÖTALANDS LÄN</t>
        </is>
      </c>
      <c r="G143" t="inlineStr">
        <is>
          <t>MUNKEDAL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34080-2025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45845</v>
      </c>
      <c r="E144" s="1" t="n">
        <v>46216</v>
      </c>
      <c r="F144" t="inlineStr">
        <is>
          <t>VÄSTRA GÖTALANDS LÄN</t>
        </is>
      </c>
      <c r="G144" t="inlineStr">
        <is>
          <t>MUNKEDAL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45486-2025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45921</v>
      </c>
      <c r="E145" s="1" t="n">
        <v>46216</v>
      </c>
      <c r="F145" t="inlineStr">
        <is>
          <t>VÄSTRA GÖTALANDS LÄN</t>
        </is>
      </c>
      <c r="G145" t="inlineStr">
        <is>
          <t>MUNKEDAL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58325-2024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45632</v>
      </c>
      <c r="E146" s="1" t="n">
        <v>46216</v>
      </c>
      <c r="F146" t="inlineStr">
        <is>
          <t>VÄSTRA GÖTALANDS LÄN</t>
        </is>
      </c>
      <c r="G146" t="inlineStr">
        <is>
          <t>MUNKEDAL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34624-2025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45847</v>
      </c>
      <c r="E147" s="1" t="n">
        <v>46216</v>
      </c>
      <c r="F147" t="inlineStr">
        <is>
          <t>VÄSTRA GÖTALANDS LÄN</t>
        </is>
      </c>
      <c r="G147" t="inlineStr">
        <is>
          <t>MUNKEDAL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34978-2025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45849</v>
      </c>
      <c r="E148" s="1" t="n">
        <v>46216</v>
      </c>
      <c r="F148" t="inlineStr">
        <is>
          <t>VÄSTRA GÖTALANDS LÄN</t>
        </is>
      </c>
      <c r="G148" t="inlineStr">
        <is>
          <t>MUNKEDAL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59150-2022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46216</v>
      </c>
      <c r="F149" t="inlineStr">
        <is>
          <t>VÄSTRA GÖTALANDS LÄN</t>
        </is>
      </c>
      <c r="G149" t="inlineStr">
        <is>
          <t>MUNKEDAL</t>
        </is>
      </c>
      <c r="H149" t="inlineStr">
        <is>
          <t>Kyrkan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46216</v>
      </c>
      <c r="F150" t="inlineStr">
        <is>
          <t>VÄSTRA GÖTALANDS LÄN</t>
        </is>
      </c>
      <c r="G150" t="inlineStr">
        <is>
          <t>MUNKEDAL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45306</v>
      </c>
      <c r="E151" s="1" t="n">
        <v>46216</v>
      </c>
      <c r="F151" t="inlineStr">
        <is>
          <t>VÄSTRA GÖTALANDS LÄN</t>
        </is>
      </c>
      <c r="G151" t="inlineStr">
        <is>
          <t>MUNKEDAL</t>
        </is>
      </c>
      <c r="I151" t="n">
        <v>25.2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11525-2023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44993</v>
      </c>
      <c r="E152" s="1" t="n">
        <v>46216</v>
      </c>
      <c r="F152" t="inlineStr">
        <is>
          <t>VÄSTRA GÖTALANDS LÄN</t>
        </is>
      </c>
      <c r="G152" t="inlineStr">
        <is>
          <t>MUNKEDAL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16968-2025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45755</v>
      </c>
      <c r="E153" s="1" t="n">
        <v>46216</v>
      </c>
      <c r="F153" t="inlineStr">
        <is>
          <t>VÄSTRA GÖTALANDS LÄN</t>
        </is>
      </c>
      <c r="G153" t="inlineStr">
        <is>
          <t>MUNKEDAL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47307-2025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46216</v>
      </c>
      <c r="F154" t="inlineStr">
        <is>
          <t>VÄSTRA GÖTALANDS LÄN</t>
        </is>
      </c>
      <c r="G154" t="inlineStr">
        <is>
          <t>MUNKEDAL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19361-2023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45049</v>
      </c>
      <c r="E155" s="1" t="n">
        <v>46216</v>
      </c>
      <c r="F155" t="inlineStr">
        <is>
          <t>VÄSTRA GÖTALANDS LÄN</t>
        </is>
      </c>
      <c r="G155" t="inlineStr">
        <is>
          <t>MUNKEDAL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57613-2024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46216</v>
      </c>
      <c r="F156" t="inlineStr">
        <is>
          <t>VÄSTRA GÖTALANDS LÄN</t>
        </is>
      </c>
      <c r="G156" t="inlineStr">
        <is>
          <t>MUNKEDAL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56744-2023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45244</v>
      </c>
      <c r="E157" s="1" t="n">
        <v>46216</v>
      </c>
      <c r="F157" t="inlineStr">
        <is>
          <t>VÄSTRA GÖTALANDS LÄN</t>
        </is>
      </c>
      <c r="G157" t="inlineStr">
        <is>
          <t>MUNKEDAL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1559-2023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44937</v>
      </c>
      <c r="E158" s="1" t="n">
        <v>46216</v>
      </c>
      <c r="F158" t="inlineStr">
        <is>
          <t>VÄSTRA GÖTALANDS LÄN</t>
        </is>
      </c>
      <c r="G158" t="inlineStr">
        <is>
          <t>MUNKEDAL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53424-2023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46216</v>
      </c>
      <c r="F159" t="inlineStr">
        <is>
          <t>VÄSTRA GÖTALANDS LÄN</t>
        </is>
      </c>
      <c r="G159" t="inlineStr">
        <is>
          <t>MUNKEDAL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56766-2023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46216</v>
      </c>
      <c r="F160" t="inlineStr">
        <is>
          <t>VÄSTRA GÖTALANDS LÄN</t>
        </is>
      </c>
      <c r="G160" t="inlineStr">
        <is>
          <t>MUNKEDAL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59132-2022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44904</v>
      </c>
      <c r="E161" s="1" t="n">
        <v>46216</v>
      </c>
      <c r="F161" t="inlineStr">
        <is>
          <t>VÄSTRA GÖTALANDS LÄN</t>
        </is>
      </c>
      <c r="G161" t="inlineStr">
        <is>
          <t>MUNKEDAL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28559-2025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46216</v>
      </c>
      <c r="F162" t="inlineStr">
        <is>
          <t>VÄSTRA GÖTALANDS LÄN</t>
        </is>
      </c>
      <c r="G162" t="inlineStr">
        <is>
          <t>MUNKEDAL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16621-2022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46216</v>
      </c>
      <c r="F163" t="inlineStr">
        <is>
          <t>VÄSTRA GÖTALANDS LÄN</t>
        </is>
      </c>
      <c r="G163" t="inlineStr">
        <is>
          <t>MUNKEDAL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57619-2024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46216</v>
      </c>
      <c r="F164" t="inlineStr">
        <is>
          <t>VÄSTRA GÖTALANDS LÄN</t>
        </is>
      </c>
      <c r="G164" t="inlineStr">
        <is>
          <t>MUNKEDAL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57625-2024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45630</v>
      </c>
      <c r="E165" s="1" t="n">
        <v>46216</v>
      </c>
      <c r="F165" t="inlineStr">
        <is>
          <t>VÄSTRA GÖTALANDS LÄN</t>
        </is>
      </c>
      <c r="G165" t="inlineStr">
        <is>
          <t>MUNKEDAL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57630-2024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45630</v>
      </c>
      <c r="E166" s="1" t="n">
        <v>46216</v>
      </c>
      <c r="F166" t="inlineStr">
        <is>
          <t>VÄSTRA GÖTALANDS LÄN</t>
        </is>
      </c>
      <c r="G166" t="inlineStr">
        <is>
          <t>MUNKEDAL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28569-2025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46216</v>
      </c>
      <c r="F167" t="inlineStr">
        <is>
          <t>VÄSTRA GÖTALANDS LÄN</t>
        </is>
      </c>
      <c r="G167" t="inlineStr">
        <is>
          <t>MUNKEDAL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53425-2023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46216</v>
      </c>
      <c r="F168" t="inlineStr">
        <is>
          <t>VÄSTRA GÖTALANDS LÄN</t>
        </is>
      </c>
      <c r="G168" t="inlineStr">
        <is>
          <t>MUNKEDAL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53412-2023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46216</v>
      </c>
      <c r="F169" t="inlineStr">
        <is>
          <t>VÄSTRA GÖTALANDS LÄN</t>
        </is>
      </c>
      <c r="G169" t="inlineStr">
        <is>
          <t>MUNKEDAL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57409-2022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46216</v>
      </c>
      <c r="F170" t="inlineStr">
        <is>
          <t>VÄSTRA GÖTALANDS LÄN</t>
        </is>
      </c>
      <c r="G170" t="inlineStr">
        <is>
          <t>MUNKEDAL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8561-2024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45351</v>
      </c>
      <c r="E171" s="1" t="n">
        <v>46216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Övriga Aktiebolag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48754-2025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46216</v>
      </c>
      <c r="F172" t="inlineStr">
        <is>
          <t>VÄSTRA GÖTALANDS LÄN</t>
        </is>
      </c>
      <c r="G172" t="inlineStr">
        <is>
          <t>MUNKEDAL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54760-2024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45618</v>
      </c>
      <c r="E173" s="1" t="n">
        <v>46216</v>
      </c>
      <c r="F173" t="inlineStr">
        <is>
          <t>VÄSTRA GÖTALANDS LÄN</t>
        </is>
      </c>
      <c r="G173" t="inlineStr">
        <is>
          <t>MUNKEDAL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54518-2023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45233</v>
      </c>
      <c r="E174" s="1" t="n">
        <v>46216</v>
      </c>
      <c r="F174" t="inlineStr">
        <is>
          <t>VÄSTRA GÖTALANDS LÄN</t>
        </is>
      </c>
      <c r="G174" t="inlineStr">
        <is>
          <t>MUNKEDAL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61584-2023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45261</v>
      </c>
      <c r="E175" s="1" t="n">
        <v>46216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Övriga Aktiebolag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46038</v>
      </c>
      <c r="E176" s="1" t="n">
        <v>46216</v>
      </c>
      <c r="F176" t="inlineStr">
        <is>
          <t>VÄSTRA GÖTALANDS LÄN</t>
        </is>
      </c>
      <c r="G176" t="inlineStr">
        <is>
          <t>MUNKEDAL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54955-2024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45619</v>
      </c>
      <c r="E177" s="1" t="n">
        <v>46216</v>
      </c>
      <c r="F177" t="inlineStr">
        <is>
          <t>VÄSTRA GÖTALANDS LÄN</t>
        </is>
      </c>
      <c r="G177" t="inlineStr">
        <is>
          <t>MUNKEDAL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58251-2024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45631</v>
      </c>
      <c r="E178" s="1" t="n">
        <v>46216</v>
      </c>
      <c r="F178" t="inlineStr">
        <is>
          <t>VÄSTRA GÖTALANDS LÄN</t>
        </is>
      </c>
      <c r="G178" t="inlineStr">
        <is>
          <t>MUNKEDAL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3002-2026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46038</v>
      </c>
      <c r="E179" s="1" t="n">
        <v>46216</v>
      </c>
      <c r="F179" t="inlineStr">
        <is>
          <t>VÄSTRA GÖTALANDS LÄN</t>
        </is>
      </c>
      <c r="G179" t="inlineStr">
        <is>
          <t>MUNKEDAL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29588-2024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45484</v>
      </c>
      <c r="E180" s="1" t="n">
        <v>46216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Övriga Aktiebolag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8576-2025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45709</v>
      </c>
      <c r="E181" s="1" t="n">
        <v>46216</v>
      </c>
      <c r="F181" t="inlineStr">
        <is>
          <t>VÄSTRA GÖTALANDS LÄN</t>
        </is>
      </c>
      <c r="G181" t="inlineStr">
        <is>
          <t>MUNKEDAL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49731-2025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46216</v>
      </c>
      <c r="F182" t="inlineStr">
        <is>
          <t>VÄSTRA GÖTALANDS LÄN</t>
        </is>
      </c>
      <c r="G182" t="inlineStr">
        <is>
          <t>MUNKEDAL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37934-2025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45881</v>
      </c>
      <c r="E183" s="1" t="n">
        <v>46216</v>
      </c>
      <c r="F183" t="inlineStr">
        <is>
          <t>VÄSTRA GÖTALANDS LÄN</t>
        </is>
      </c>
      <c r="G183" t="inlineStr">
        <is>
          <t>MUNKEDAL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28919-2025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45820</v>
      </c>
      <c r="E184" s="1" t="n">
        <v>46216</v>
      </c>
      <c r="F184" t="inlineStr">
        <is>
          <t>VÄSTRA GÖTALANDS LÄN</t>
        </is>
      </c>
      <c r="G184" t="inlineStr">
        <is>
          <t>MUNKEDAL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47675-2023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45203</v>
      </c>
      <c r="E185" s="1" t="n">
        <v>46216</v>
      </c>
      <c r="F185" t="inlineStr">
        <is>
          <t>VÄSTRA GÖTALANDS LÄN</t>
        </is>
      </c>
      <c r="G185" t="inlineStr">
        <is>
          <t>MUNKEDAL</t>
        </is>
      </c>
      <c r="I185" t="n">
        <v>14.1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45293</v>
      </c>
      <c r="E186" s="1" t="n">
        <v>46216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Övriga Aktiebolag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52115-2025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45952</v>
      </c>
      <c r="E187" s="1" t="n">
        <v>46216</v>
      </c>
      <c r="F187" t="inlineStr">
        <is>
          <t>VÄSTRA GÖTALANDS LÄN</t>
        </is>
      </c>
      <c r="G187" t="inlineStr">
        <is>
          <t>MUNKEDAL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21625-2023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45063</v>
      </c>
      <c r="E188" s="1" t="n">
        <v>46216</v>
      </c>
      <c r="F188" t="inlineStr">
        <is>
          <t>VÄSTRA GÖTALANDS LÄN</t>
        </is>
      </c>
      <c r="G188" t="inlineStr">
        <is>
          <t>MUNKEDAL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35814-2023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45148</v>
      </c>
      <c r="E189" s="1" t="n">
        <v>46216</v>
      </c>
      <c r="F189" t="inlineStr">
        <is>
          <t>VÄSTRA GÖTALANDS LÄN</t>
        </is>
      </c>
      <c r="G189" t="inlineStr">
        <is>
          <t>MUNKEDAL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46216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6217-2024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45337</v>
      </c>
      <c r="E191" s="1" t="n">
        <v>46216</v>
      </c>
      <c r="F191" t="inlineStr">
        <is>
          <t>VÄSTRA GÖTALANDS LÄN</t>
        </is>
      </c>
      <c r="G191" t="inlineStr">
        <is>
          <t>MUNKEDAL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22857-2022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44715</v>
      </c>
      <c r="E192" s="1" t="n">
        <v>46216</v>
      </c>
      <c r="F192" t="inlineStr">
        <is>
          <t>VÄSTRA GÖTALANDS LÄN</t>
        </is>
      </c>
      <c r="G192" t="inlineStr">
        <is>
          <t>MUNKEDAL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46216</v>
      </c>
      <c r="F193" t="inlineStr">
        <is>
          <t>VÄSTRA GÖTALANDS LÄN</t>
        </is>
      </c>
      <c r="G193" t="inlineStr">
        <is>
          <t>MUNKEDAL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46047</v>
      </c>
      <c r="E194" s="1" t="n">
        <v>46216</v>
      </c>
      <c r="F194" t="inlineStr">
        <is>
          <t>VÄSTRA GÖTALANDS LÄN</t>
        </is>
      </c>
      <c r="G194" t="inlineStr">
        <is>
          <t>MUNKEDAL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15555-2024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45401</v>
      </c>
      <c r="E195" s="1" t="n">
        <v>46216</v>
      </c>
      <c r="F195" t="inlineStr">
        <is>
          <t>VÄSTRA GÖTALANDS LÄN</t>
        </is>
      </c>
      <c r="G195" t="inlineStr">
        <is>
          <t>MUNKEDAL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6037-2026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46050</v>
      </c>
      <c r="E196" s="1" t="n">
        <v>46216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Övriga Aktiebolag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46050</v>
      </c>
      <c r="E197" s="1" t="n">
        <v>46216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Kyrkan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6824-2026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46216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50038-2023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46216</v>
      </c>
      <c r="F199" t="inlineStr">
        <is>
          <t>VÄSTRA GÖTALANDS LÄN</t>
        </is>
      </c>
      <c r="G199" t="inlineStr">
        <is>
          <t>MUNKEDAL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6685-2026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46216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Övriga Aktiebolag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56579-2025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45974</v>
      </c>
      <c r="E201" s="1" t="n">
        <v>46216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59257-2024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45636</v>
      </c>
      <c r="E202" s="1" t="n">
        <v>46216</v>
      </c>
      <c r="F202" t="inlineStr">
        <is>
          <t>VÄSTRA GÖTALANDS LÄN</t>
        </is>
      </c>
      <c r="G202" t="inlineStr">
        <is>
          <t>MUNKEDAL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28995-2022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44749</v>
      </c>
      <c r="E203" s="1" t="n">
        <v>46216</v>
      </c>
      <c r="F203" t="inlineStr">
        <is>
          <t>VÄSTRA GÖTALANDS LÄN</t>
        </is>
      </c>
      <c r="G203" t="inlineStr">
        <is>
          <t>MUNKEDAL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57739-2025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46216</v>
      </c>
      <c r="F204" t="inlineStr">
        <is>
          <t>VÄSTRA GÖTALANDS LÄN</t>
        </is>
      </c>
      <c r="G204" t="inlineStr">
        <is>
          <t>MUNKEDAL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57900-2025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45981</v>
      </c>
      <c r="E205" s="1" t="n">
        <v>46216</v>
      </c>
      <c r="F205" t="inlineStr">
        <is>
          <t>VÄSTRA GÖTALANDS LÄN</t>
        </is>
      </c>
      <c r="G205" t="inlineStr">
        <is>
          <t>MUNKEDAL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49912-2023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45214</v>
      </c>
      <c r="E206" s="1" t="n">
        <v>46216</v>
      </c>
      <c r="F206" t="inlineStr">
        <is>
          <t>VÄSTRA GÖTALANDS LÄN</t>
        </is>
      </c>
      <c r="G206" t="inlineStr">
        <is>
          <t>MUNKEDAL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55438-2025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45971</v>
      </c>
      <c r="E207" s="1" t="n">
        <v>46216</v>
      </c>
      <c r="F207" t="inlineStr">
        <is>
          <t>VÄSTRA GÖTALANDS LÄN</t>
        </is>
      </c>
      <c r="G207" t="inlineStr">
        <is>
          <t>MUNKEDAL</t>
        </is>
      </c>
      <c r="I207" t="n">
        <v>16.3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7385-2026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46059</v>
      </c>
      <c r="E208" s="1" t="n">
        <v>46216</v>
      </c>
      <c r="F208" t="inlineStr">
        <is>
          <t>VÄSTRA GÖTALANDS LÄN</t>
        </is>
      </c>
      <c r="G208" t="inlineStr">
        <is>
          <t>MUNKEDAL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58515-2025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45985</v>
      </c>
      <c r="E209" s="1" t="n">
        <v>46216</v>
      </c>
      <c r="F209" t="inlineStr">
        <is>
          <t>VÄSTRA GÖTALANDS LÄN</t>
        </is>
      </c>
      <c r="G209" t="inlineStr">
        <is>
          <t>MUNKEDAL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7656-2026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46216</v>
      </c>
      <c r="F210" t="inlineStr">
        <is>
          <t>VÄSTRA GÖTALANDS LÄN</t>
        </is>
      </c>
      <c r="G210" t="inlineStr">
        <is>
          <t>MUNKEDAL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7950-2026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46063</v>
      </c>
      <c r="E211" s="1" t="n">
        <v>46216</v>
      </c>
      <c r="F211" t="inlineStr">
        <is>
          <t>VÄSTRA GÖTALANDS LÄN</t>
        </is>
      </c>
      <c r="G211" t="inlineStr">
        <is>
          <t>MUNKEDAL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58711-2025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45986</v>
      </c>
      <c r="E212" s="1" t="n">
        <v>46216</v>
      </c>
      <c r="F212" t="inlineStr">
        <is>
          <t>VÄSTRA GÖTALANDS LÄN</t>
        </is>
      </c>
      <c r="G212" t="inlineStr">
        <is>
          <t>MUNKEDAL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45165-2024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45575</v>
      </c>
      <c r="E213" s="1" t="n">
        <v>46216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Naturvårdsverket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29969-2024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45488</v>
      </c>
      <c r="E214" s="1" t="n">
        <v>46216</v>
      </c>
      <c r="F214" t="inlineStr">
        <is>
          <t>VÄSTRA GÖTALANDS LÄN</t>
        </is>
      </c>
      <c r="G214" t="inlineStr">
        <is>
          <t>MUNKEDAL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54001-2023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45231</v>
      </c>
      <c r="E215" s="1" t="n">
        <v>46216</v>
      </c>
      <c r="F215" t="inlineStr">
        <is>
          <t>VÄSTRA GÖTALANDS LÄN</t>
        </is>
      </c>
      <c r="G215" t="inlineStr">
        <is>
          <t>MUNKEDAL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59099-2025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46216</v>
      </c>
      <c r="F216" t="inlineStr">
        <is>
          <t>VÄSTRA GÖTALANDS LÄN</t>
        </is>
      </c>
      <c r="G216" t="inlineStr">
        <is>
          <t>MUNKEDAL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28667-2022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44748</v>
      </c>
      <c r="E217" s="1" t="n">
        <v>46216</v>
      </c>
      <c r="F217" t="inlineStr">
        <is>
          <t>VÄSTRA GÖTALANDS LÄN</t>
        </is>
      </c>
      <c r="G217" t="inlineStr">
        <is>
          <t>MUNKEDAL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8257-2026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46064</v>
      </c>
      <c r="E218" s="1" t="n">
        <v>46216</v>
      </c>
      <c r="F218" t="inlineStr">
        <is>
          <t>VÄSTRA GÖTALANDS LÄN</t>
        </is>
      </c>
      <c r="G218" t="inlineStr">
        <is>
          <t>MUNKEDAL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18159-2025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45761</v>
      </c>
      <c r="E219" s="1" t="n">
        <v>46216</v>
      </c>
      <c r="F219" t="inlineStr">
        <is>
          <t>VÄSTRA GÖTALANDS LÄN</t>
        </is>
      </c>
      <c r="G219" t="inlineStr">
        <is>
          <t>MUNKEDAL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9720-2024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45362</v>
      </c>
      <c r="E220" s="1" t="n">
        <v>46216</v>
      </c>
      <c r="F220" t="inlineStr">
        <is>
          <t>VÄSTRA GÖTALANDS LÄN</t>
        </is>
      </c>
      <c r="G220" t="inlineStr">
        <is>
          <t>MUNKEDAL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31350-2022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44774</v>
      </c>
      <c r="E221" s="1" t="n">
        <v>46216</v>
      </c>
      <c r="F221" t="inlineStr">
        <is>
          <t>VÄSTRA GÖTALANDS LÄN</t>
        </is>
      </c>
      <c r="G221" t="inlineStr">
        <is>
          <t>MUNKEDAL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62098-2022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44920</v>
      </c>
      <c r="E222" s="1" t="n">
        <v>46216</v>
      </c>
      <c r="F222" t="inlineStr">
        <is>
          <t>VÄSTRA GÖTALANDS LÄN</t>
        </is>
      </c>
      <c r="G222" t="inlineStr">
        <is>
          <t>MUNKEDAL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62101-2022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44920</v>
      </c>
      <c r="E223" s="1" t="n">
        <v>46216</v>
      </c>
      <c r="F223" t="inlineStr">
        <is>
          <t>VÄSTRA GÖTALANDS LÄN</t>
        </is>
      </c>
      <c r="G223" t="inlineStr">
        <is>
          <t>MUNKEDAL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9746-2023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46216</v>
      </c>
      <c r="F224" t="inlineStr">
        <is>
          <t>VÄSTRA GÖTALANDS LÄN</t>
        </is>
      </c>
      <c r="G224" t="inlineStr">
        <is>
          <t>MUNKEDAL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10096-2026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46073</v>
      </c>
      <c r="E225" s="1" t="n">
        <v>46216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Övriga Aktiebolag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10097-2026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46073</v>
      </c>
      <c r="E226" s="1" t="n">
        <v>46216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61247-2025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46000</v>
      </c>
      <c r="E227" s="1" t="n">
        <v>46216</v>
      </c>
      <c r="F227" t="inlineStr">
        <is>
          <t>VÄSTRA GÖTALANDS LÄN</t>
        </is>
      </c>
      <c r="G227" t="inlineStr">
        <is>
          <t>MUNKEDAL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61268-2025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46000</v>
      </c>
      <c r="E228" s="1" t="n">
        <v>46216</v>
      </c>
      <c r="F228" t="inlineStr">
        <is>
          <t>VÄSTRA GÖTALANDS LÄN</t>
        </is>
      </c>
      <c r="G228" t="inlineStr">
        <is>
          <t>MUNKEDAL</t>
        </is>
      </c>
      <c r="I228" t="n">
        <v>17.5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61392-2025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46000</v>
      </c>
      <c r="E229" s="1" t="n">
        <v>46216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13162-2023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45002</v>
      </c>
      <c r="E230" s="1" t="n">
        <v>46216</v>
      </c>
      <c r="F230" t="inlineStr">
        <is>
          <t>VÄSTRA GÖTALANDS LÄN</t>
        </is>
      </c>
      <c r="G230" t="inlineStr">
        <is>
          <t>MUNKEDAL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61276-2025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46216</v>
      </c>
      <c r="F231" t="inlineStr">
        <is>
          <t>VÄSTRA GÖTALANDS LÄN</t>
        </is>
      </c>
      <c r="G231" t="inlineStr">
        <is>
          <t>MUNKEDAL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44478-2023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45189</v>
      </c>
      <c r="E232" s="1" t="n">
        <v>46216</v>
      </c>
      <c r="F232" t="inlineStr">
        <is>
          <t>VÄSTRA GÖTALANDS LÄN</t>
        </is>
      </c>
      <c r="G232" t="inlineStr">
        <is>
          <t>MUNKEDAL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61804-2025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46002</v>
      </c>
      <c r="E233" s="1" t="n">
        <v>46216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19.1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45296</v>
      </c>
      <c r="E234" s="1" t="n">
        <v>46216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Kyrkan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61997-2025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46003</v>
      </c>
      <c r="E235" s="1" t="n">
        <v>46216</v>
      </c>
      <c r="F235" t="inlineStr">
        <is>
          <t>VÄSTRA GÖTALANDS LÄN</t>
        </is>
      </c>
      <c r="G235" t="inlineStr">
        <is>
          <t>MUNKEDAL</t>
        </is>
      </c>
      <c r="I235" t="n">
        <v>8.9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51409-2022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44866</v>
      </c>
      <c r="E236" s="1" t="n">
        <v>46216</v>
      </c>
      <c r="F236" t="inlineStr">
        <is>
          <t>VÄSTRA GÖTALANDS LÄN</t>
        </is>
      </c>
      <c r="G236" t="inlineStr">
        <is>
          <t>MUNKEDAL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7389-2022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44606</v>
      </c>
      <c r="E237" s="1" t="n">
        <v>46216</v>
      </c>
      <c r="F237" t="inlineStr">
        <is>
          <t>VÄSTRA GÖTALANDS LÄN</t>
        </is>
      </c>
      <c r="G237" t="inlineStr">
        <is>
          <t>MUNKEDAL</t>
        </is>
      </c>
      <c r="I237" t="n">
        <v>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10775-2026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46078</v>
      </c>
      <c r="E238" s="1" t="n">
        <v>46216</v>
      </c>
      <c r="F238" t="inlineStr">
        <is>
          <t>VÄSTRA GÖTALANDS LÄN</t>
        </is>
      </c>
      <c r="G238" t="inlineStr">
        <is>
          <t>MUNKEDAL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62500-2025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46216</v>
      </c>
      <c r="F239" t="inlineStr">
        <is>
          <t>VÄSTRA GÖTALANDS LÄN</t>
        </is>
      </c>
      <c r="G239" t="inlineStr">
        <is>
          <t>MUNKEDAL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13303-2023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45005</v>
      </c>
      <c r="E240" s="1" t="n">
        <v>46216</v>
      </c>
      <c r="F240" t="inlineStr">
        <is>
          <t>VÄSTRA GÖTALANDS LÄN</t>
        </is>
      </c>
      <c r="G240" t="inlineStr">
        <is>
          <t>MUNKEDAL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41716-2024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45560</v>
      </c>
      <c r="E241" s="1" t="n">
        <v>46216</v>
      </c>
      <c r="F241" t="inlineStr">
        <is>
          <t>VÄSTRA GÖTALANDS LÄN</t>
        </is>
      </c>
      <c r="G241" t="inlineStr">
        <is>
          <t>MUNKEDAL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64132-2025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46216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Övriga Aktiebolag</t>
        </is>
      </c>
      <c r="I242" t="n">
        <v>11.6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59171-2022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44897</v>
      </c>
      <c r="E243" s="1" t="n">
        <v>46216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Kyrkan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60230-2024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45640</v>
      </c>
      <c r="E244" s="1" t="n">
        <v>46216</v>
      </c>
      <c r="F244" t="inlineStr">
        <is>
          <t>VÄSTRA GÖTALANDS LÄN</t>
        </is>
      </c>
      <c r="G244" t="inlineStr">
        <is>
          <t>MUNKEDAL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63515-2025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46216</v>
      </c>
      <c r="F245" t="inlineStr">
        <is>
          <t>VÄSTRA GÖTALANDS LÄN</t>
        </is>
      </c>
      <c r="G245" t="inlineStr">
        <is>
          <t>MUNKEDAL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12243-2024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45378</v>
      </c>
      <c r="E246" s="1" t="n">
        <v>46216</v>
      </c>
      <c r="F246" t="inlineStr">
        <is>
          <t>VÄSTRA GÖTALANDS LÄN</t>
        </is>
      </c>
      <c r="G246" t="inlineStr">
        <is>
          <t>MUNKEDAL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46440-2024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45582</v>
      </c>
      <c r="E247" s="1" t="n">
        <v>46216</v>
      </c>
      <c r="F247" t="inlineStr">
        <is>
          <t>VÄSTRA GÖTALANDS LÄN</t>
        </is>
      </c>
      <c r="G247" t="inlineStr">
        <is>
          <t>MUNKEDAL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2560-2025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45674</v>
      </c>
      <c r="E248" s="1" t="n">
        <v>46216</v>
      </c>
      <c r="F248" t="inlineStr">
        <is>
          <t>VÄSTRA GÖTALANDS LÄN</t>
        </is>
      </c>
      <c r="G248" t="inlineStr">
        <is>
          <t>MUNKEDAL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64147-2025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46022</v>
      </c>
      <c r="E249" s="1" t="n">
        <v>46216</v>
      </c>
      <c r="F249" t="inlineStr">
        <is>
          <t>VÄSTRA GÖTALANDS LÄN</t>
        </is>
      </c>
      <c r="G249" t="inlineStr">
        <is>
          <t>MUNKEDAL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64146-2025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46022</v>
      </c>
      <c r="E250" s="1" t="n">
        <v>46216</v>
      </c>
      <c r="F250" t="inlineStr">
        <is>
          <t>VÄSTRA GÖTALANDS LÄN</t>
        </is>
      </c>
      <c r="G250" t="inlineStr">
        <is>
          <t>MUNKEDAL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5866-2023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44958</v>
      </c>
      <c r="E251" s="1" t="n">
        <v>46216</v>
      </c>
      <c r="F251" t="inlineStr">
        <is>
          <t>VÄSTRA GÖTALANDS LÄN</t>
        </is>
      </c>
      <c r="G251" t="inlineStr">
        <is>
          <t>MUNKEDAL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45313</v>
      </c>
      <c r="E252" s="1" t="n">
        <v>46216</v>
      </c>
      <c r="F252" t="inlineStr">
        <is>
          <t>VÄSTRA GÖTALANDS LÄN</t>
        </is>
      </c>
      <c r="G252" t="inlineStr">
        <is>
          <t>MUNKEDAL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41521-2023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45175</v>
      </c>
      <c r="E253" s="1" t="n">
        <v>46216</v>
      </c>
      <c r="F253" t="inlineStr">
        <is>
          <t>VÄSTRA GÖTALANDS LÄN</t>
        </is>
      </c>
      <c r="G253" t="inlineStr">
        <is>
          <t>MUNKEDAL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60231-2024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45640</v>
      </c>
      <c r="E254" s="1" t="n">
        <v>46216</v>
      </c>
      <c r="F254" t="inlineStr">
        <is>
          <t>VÄSTRA GÖTALANDS LÄN</t>
        </is>
      </c>
      <c r="G254" t="inlineStr">
        <is>
          <t>MUNKEDAL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6809-2024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45342</v>
      </c>
      <c r="E255" s="1" t="n">
        <v>46216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Kyrkan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45664</v>
      </c>
      <c r="E256" s="1" t="n">
        <v>46216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18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45296</v>
      </c>
      <c r="E257" s="1" t="n">
        <v>46216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Kyrkan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45469-2023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45188</v>
      </c>
      <c r="E258" s="1" t="n">
        <v>46216</v>
      </c>
      <c r="F258" t="inlineStr">
        <is>
          <t>VÄSTRA GÖTALANDS LÄN</t>
        </is>
      </c>
      <c r="G258" t="inlineStr">
        <is>
          <t>MUNKEDAL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12624-2026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46091</v>
      </c>
      <c r="E259" s="1" t="n">
        <v>46216</v>
      </c>
      <c r="F259" t="inlineStr">
        <is>
          <t>VÄSTRA GÖTALANDS LÄN</t>
        </is>
      </c>
      <c r="G259" t="inlineStr">
        <is>
          <t>MUNKEDAL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5600-2023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44960</v>
      </c>
      <c r="E260" s="1" t="n">
        <v>46216</v>
      </c>
      <c r="F260" t="inlineStr">
        <is>
          <t>VÄSTRA GÖTALANDS LÄN</t>
        </is>
      </c>
      <c r="G260" t="inlineStr">
        <is>
          <t>MUNKEDAL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29707-2022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44755</v>
      </c>
      <c r="E261" s="1" t="n">
        <v>46216</v>
      </c>
      <c r="F261" t="inlineStr">
        <is>
          <t>VÄSTRA GÖTALANDS LÄN</t>
        </is>
      </c>
      <c r="G261" t="inlineStr">
        <is>
          <t>MUNKEDAL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4362-2024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45325</v>
      </c>
      <c r="E262" s="1" t="n">
        <v>46216</v>
      </c>
      <c r="F262" t="inlineStr">
        <is>
          <t>VÄSTRA GÖTALANDS LÄN</t>
        </is>
      </c>
      <c r="G262" t="inlineStr">
        <is>
          <t>MUNKEDAL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35645-2023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45147</v>
      </c>
      <c r="E263" s="1" t="n">
        <v>46216</v>
      </c>
      <c r="F263" t="inlineStr">
        <is>
          <t>VÄSTRA GÖTALANDS LÄN</t>
        </is>
      </c>
      <c r="G263" t="inlineStr">
        <is>
          <t>MUNKEDAL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14607-2026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46216</v>
      </c>
      <c r="F264" t="inlineStr">
        <is>
          <t>VÄSTRA GÖTALANDS LÄN</t>
        </is>
      </c>
      <c r="G264" t="inlineStr">
        <is>
          <t>MUNKEDAL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17136-2025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45755</v>
      </c>
      <c r="E265" s="1" t="n">
        <v>46216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14608-2026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46101</v>
      </c>
      <c r="E266" s="1" t="n">
        <v>46216</v>
      </c>
      <c r="F266" t="inlineStr">
        <is>
          <t>VÄSTRA GÖTALANDS LÄN</t>
        </is>
      </c>
      <c r="G266" t="inlineStr">
        <is>
          <t>MUNKEDAL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53839-2021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44467</v>
      </c>
      <c r="E267" s="1" t="n">
        <v>46216</v>
      </c>
      <c r="F267" t="inlineStr">
        <is>
          <t>VÄSTRA GÖTALANDS LÄN</t>
        </is>
      </c>
      <c r="G267" t="inlineStr">
        <is>
          <t>MUNKEDAL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54933-2024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45618</v>
      </c>
      <c r="E268" s="1" t="n">
        <v>46216</v>
      </c>
      <c r="F268" t="inlineStr">
        <is>
          <t>VÄSTRA GÖTALANDS LÄN</t>
        </is>
      </c>
      <c r="G268" t="inlineStr">
        <is>
          <t>MUNKEDAL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18278-2025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45762</v>
      </c>
      <c r="E269" s="1" t="n">
        <v>46216</v>
      </c>
      <c r="F269" t="inlineStr">
        <is>
          <t>VÄSTRA GÖTALANDS LÄN</t>
        </is>
      </c>
      <c r="G269" t="inlineStr">
        <is>
          <t>MUNKEDAL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16407-2026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46216</v>
      </c>
      <c r="F270" t="inlineStr">
        <is>
          <t>VÄSTRA GÖTALANDS LÄN</t>
        </is>
      </c>
      <c r="G270" t="inlineStr">
        <is>
          <t>MUNKEDAL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16330-2026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46216</v>
      </c>
      <c r="F271" t="inlineStr">
        <is>
          <t>VÄSTRA GÖTALANDS LÄN</t>
        </is>
      </c>
      <c r="G271" t="inlineStr">
        <is>
          <t>MUNKEDAL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16410-2026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46216</v>
      </c>
      <c r="F272" t="inlineStr">
        <is>
          <t>VÄSTRA GÖTALANDS LÄN</t>
        </is>
      </c>
      <c r="G272" t="inlineStr">
        <is>
          <t>MUNKEDAL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16416-2026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46216</v>
      </c>
      <c r="F273" t="inlineStr">
        <is>
          <t>VÄSTRA GÖTALANDS LÄN</t>
        </is>
      </c>
      <c r="G273" t="inlineStr">
        <is>
          <t>MUNKEDAL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16399-2026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46216</v>
      </c>
      <c r="F274" t="inlineStr">
        <is>
          <t>VÄSTRA GÖTALANDS LÄN</t>
        </is>
      </c>
      <c r="G274" t="inlineStr">
        <is>
          <t>MUNKEDAL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16405-2026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46216</v>
      </c>
      <c r="F275" t="inlineStr">
        <is>
          <t>VÄSTRA GÖTALANDS LÄN</t>
        </is>
      </c>
      <c r="G275" t="inlineStr">
        <is>
          <t>MUNKEDAL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61885-2023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45264</v>
      </c>
      <c r="E276" s="1" t="n">
        <v>46216</v>
      </c>
      <c r="F276" t="inlineStr">
        <is>
          <t>VÄSTRA GÖTALANDS LÄN</t>
        </is>
      </c>
      <c r="G276" t="inlineStr">
        <is>
          <t>MUNKEDAL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37941-2023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45160</v>
      </c>
      <c r="E277" s="1" t="n">
        <v>46216</v>
      </c>
      <c r="F277" t="inlineStr">
        <is>
          <t>VÄSTRA GÖTALANDS LÄN</t>
        </is>
      </c>
      <c r="G277" t="inlineStr">
        <is>
          <t>MUNKEDAL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53514-2024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46216</v>
      </c>
      <c r="F278" t="inlineStr">
        <is>
          <t>VÄSTRA GÖTALANDS LÄN</t>
        </is>
      </c>
      <c r="G278" t="inlineStr">
        <is>
          <t>MUNKEDAL</t>
        </is>
      </c>
      <c r="I278" t="n">
        <v>7.7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18569-2026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46126</v>
      </c>
      <c r="E279" s="1" t="n">
        <v>46216</v>
      </c>
      <c r="F279" t="inlineStr">
        <is>
          <t>VÄSTRA GÖTALANDS LÄN</t>
        </is>
      </c>
      <c r="G279" t="inlineStr">
        <is>
          <t>MUNKEDAL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3134-2025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45678</v>
      </c>
      <c r="E280" s="1" t="n">
        <v>46216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16631-2022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44672</v>
      </c>
      <c r="E281" s="1" t="n">
        <v>46216</v>
      </c>
      <c r="F281" t="inlineStr">
        <is>
          <t>VÄSTRA GÖTALANDS LÄN</t>
        </is>
      </c>
      <c r="G281" t="inlineStr">
        <is>
          <t>MUNKEDAL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35139-2023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46216</v>
      </c>
      <c r="F282" t="inlineStr">
        <is>
          <t>VÄSTRA GÖTALANDS LÄN</t>
        </is>
      </c>
      <c r="G282" t="inlineStr">
        <is>
          <t>MUNKEDAL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19173-2026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46129</v>
      </c>
      <c r="E283" s="1" t="n">
        <v>46216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Övriga Aktiebolag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22452-2023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45070</v>
      </c>
      <c r="E284" s="1" t="n">
        <v>46216</v>
      </c>
      <c r="F284" t="inlineStr">
        <is>
          <t>VÄSTRA GÖTALANDS LÄN</t>
        </is>
      </c>
      <c r="G284" t="inlineStr">
        <is>
          <t>MUNKEDAL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5139-2022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44593</v>
      </c>
      <c r="E285" s="1" t="n">
        <v>46216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15300-2024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45400</v>
      </c>
      <c r="E286" s="1" t="n">
        <v>46216</v>
      </c>
      <c r="F286" t="inlineStr">
        <is>
          <t>VÄSTRA GÖTALANDS LÄN</t>
        </is>
      </c>
      <c r="G286" t="inlineStr">
        <is>
          <t>MUNKEDAL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38164-2022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44812</v>
      </c>
      <c r="E287" s="1" t="n">
        <v>46216</v>
      </c>
      <c r="F287" t="inlineStr">
        <is>
          <t>VÄSTRA GÖTALANDS LÄN</t>
        </is>
      </c>
      <c r="G287" t="inlineStr">
        <is>
          <t>MUNKEDAL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25232-2026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46175</v>
      </c>
      <c r="E288" s="1" t="n">
        <v>46216</v>
      </c>
      <c r="F288" t="inlineStr">
        <is>
          <t>VÄSTRA GÖTALANDS LÄN</t>
        </is>
      </c>
      <c r="G288" t="inlineStr">
        <is>
          <t>MUNKEDAL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18280-2026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46216</v>
      </c>
      <c r="F289" t="inlineStr">
        <is>
          <t>VÄSTRA GÖTALANDS LÄN</t>
        </is>
      </c>
      <c r="G289" t="inlineStr">
        <is>
          <t>MUNKEDAL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45678</v>
      </c>
      <c r="E290" s="1" t="n">
        <v>46216</v>
      </c>
      <c r="F290" t="inlineStr">
        <is>
          <t>VÄSTRA GÖTALANDS LÄN</t>
        </is>
      </c>
      <c r="G290" t="inlineStr">
        <is>
          <t>MUNKEDAL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19022-2026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46131</v>
      </c>
      <c r="E291" s="1" t="n">
        <v>46216</v>
      </c>
      <c r="F291" t="inlineStr">
        <is>
          <t>VÄSTRA GÖTALANDS LÄN</t>
        </is>
      </c>
      <c r="G291" t="inlineStr">
        <is>
          <t>MUNKEDAL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62331-2023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45267</v>
      </c>
      <c r="E292" s="1" t="n">
        <v>46216</v>
      </c>
      <c r="F292" t="inlineStr">
        <is>
          <t>VÄSTRA GÖTALANDS LÄN</t>
        </is>
      </c>
      <c r="G292" t="inlineStr">
        <is>
          <t>MUNKEDAL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24088-2024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45456</v>
      </c>
      <c r="E293" s="1" t="n">
        <v>46216</v>
      </c>
      <c r="F293" t="inlineStr">
        <is>
          <t>VÄSTRA GÖTALANDS LÄN</t>
        </is>
      </c>
      <c r="G293" t="inlineStr">
        <is>
          <t>MUNKEDAL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19593-2026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46134</v>
      </c>
      <c r="E294" s="1" t="n">
        <v>46216</v>
      </c>
      <c r="F294" t="inlineStr">
        <is>
          <t>VÄSTRA GÖTALANDS LÄN</t>
        </is>
      </c>
      <c r="G294" t="inlineStr">
        <is>
          <t>MUNKEDAL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28692-2024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45478</v>
      </c>
      <c r="E295" s="1" t="n">
        <v>46216</v>
      </c>
      <c r="F295" t="inlineStr">
        <is>
          <t>VÄSTRA GÖTALANDS LÄN</t>
        </is>
      </c>
      <c r="G295" t="inlineStr">
        <is>
          <t>MUNKEDAL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49350-2025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46216</v>
      </c>
      <c r="F296" t="inlineStr">
        <is>
          <t>VÄSTRA GÖTALANDS LÄN</t>
        </is>
      </c>
      <c r="G296" t="inlineStr">
        <is>
          <t>MUNKEDAL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52555-2025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45954</v>
      </c>
      <c r="E297" s="1" t="n">
        <v>46216</v>
      </c>
      <c r="F297" t="inlineStr">
        <is>
          <t>VÄSTRA GÖTALANDS LÄN</t>
        </is>
      </c>
      <c r="G297" t="inlineStr">
        <is>
          <t>MUNKEDAL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13561-2024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45388</v>
      </c>
      <c r="E298" s="1" t="n">
        <v>46216</v>
      </c>
      <c r="F298" t="inlineStr">
        <is>
          <t>VÄSTRA GÖTALANDS LÄN</t>
        </is>
      </c>
      <c r="G298" t="inlineStr">
        <is>
          <t>MUNKEDAL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37331-2024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45540</v>
      </c>
      <c r="E299" s="1" t="n">
        <v>46216</v>
      </c>
      <c r="F299" t="inlineStr">
        <is>
          <t>VÄSTRA GÖTALANDS LÄN</t>
        </is>
      </c>
      <c r="G299" t="inlineStr">
        <is>
          <t>MUNKEDAL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46583-2025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46216</v>
      </c>
      <c r="F300" t="inlineStr">
        <is>
          <t>VÄSTRA GÖTALANDS LÄN</t>
        </is>
      </c>
      <c r="G300" t="inlineStr">
        <is>
          <t>MUNKEDAL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2635-2022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44580</v>
      </c>
      <c r="E301" s="1" t="n">
        <v>46216</v>
      </c>
      <c r="F301" t="inlineStr">
        <is>
          <t>VÄSTRA GÖTALANDS LÄN</t>
        </is>
      </c>
      <c r="G301" t="inlineStr">
        <is>
          <t>MUNKEDAL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52302-2022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44873</v>
      </c>
      <c r="E302" s="1" t="n">
        <v>46216</v>
      </c>
      <c r="F302" t="inlineStr">
        <is>
          <t>VÄSTRA GÖTALANDS LÄN</t>
        </is>
      </c>
      <c r="G302" t="inlineStr">
        <is>
          <t>MUNKEDAL</t>
        </is>
      </c>
      <c r="I302" t="n">
        <v>9.300000000000001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13659-2025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45736</v>
      </c>
      <c r="E303" s="1" t="n">
        <v>46216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45123-2021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44439</v>
      </c>
      <c r="E304" s="1" t="n">
        <v>46216</v>
      </c>
      <c r="F304" t="inlineStr">
        <is>
          <t>VÄSTRA GÖTALANDS LÄN</t>
        </is>
      </c>
      <c r="G304" t="inlineStr">
        <is>
          <t>MUNKEDAL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8761-2024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45355</v>
      </c>
      <c r="E305" s="1" t="n">
        <v>46216</v>
      </c>
      <c r="F305" t="inlineStr">
        <is>
          <t>VÄSTRA GÖTALANDS LÄN</t>
        </is>
      </c>
      <c r="G305" t="inlineStr">
        <is>
          <t>MUNKEDAL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26699-2024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45470</v>
      </c>
      <c r="E306" s="1" t="n">
        <v>46216</v>
      </c>
      <c r="F306" t="inlineStr">
        <is>
          <t>VÄSTRA GÖTALANDS LÄN</t>
        </is>
      </c>
      <c r="G306" t="inlineStr">
        <is>
          <t>MUNKEDAL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5498-2026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46216</v>
      </c>
      <c r="F307" t="inlineStr">
        <is>
          <t>VÄSTRA GÖTALANDS LÄN</t>
        </is>
      </c>
      <c r="G307" t="inlineStr">
        <is>
          <t>MUNKEDAL</t>
        </is>
      </c>
      <c r="H307" t="inlineStr">
        <is>
          <t>Kyrkan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36948-2025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45874</v>
      </c>
      <c r="E308" s="1" t="n">
        <v>46216</v>
      </c>
      <c r="F308" t="inlineStr">
        <is>
          <t>VÄSTRA GÖTALANDS LÄN</t>
        </is>
      </c>
      <c r="G308" t="inlineStr">
        <is>
          <t>MUNKEDAL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62463-2023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45268</v>
      </c>
      <c r="E309" s="1" t="n">
        <v>46216</v>
      </c>
      <c r="F309" t="inlineStr">
        <is>
          <t>VÄSTRA GÖTALANDS LÄN</t>
        </is>
      </c>
      <c r="G309" t="inlineStr">
        <is>
          <t>MUNKEDAL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19289-2025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45769</v>
      </c>
      <c r="E310" s="1" t="n">
        <v>46216</v>
      </c>
      <c r="F310" t="inlineStr">
        <is>
          <t>VÄSTRA GÖTALANDS LÄN</t>
        </is>
      </c>
      <c r="G310" t="inlineStr">
        <is>
          <t>MUNKEDAL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23605-2023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45072</v>
      </c>
      <c r="E311" s="1" t="n">
        <v>46216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Kommuner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49946-2021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44454</v>
      </c>
      <c r="E312" s="1" t="n">
        <v>46216</v>
      </c>
      <c r="F312" t="inlineStr">
        <is>
          <t>VÄSTRA GÖTALANDS LÄN</t>
        </is>
      </c>
      <c r="G312" t="inlineStr">
        <is>
          <t>MUNKEDAL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33192-2023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45127</v>
      </c>
      <c r="E313" s="1" t="n">
        <v>46216</v>
      </c>
      <c r="F313" t="inlineStr">
        <is>
          <t>VÄSTRA GÖTALANDS LÄN</t>
        </is>
      </c>
      <c r="G313" t="inlineStr">
        <is>
          <t>MUNKEDAL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38544-2024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45546</v>
      </c>
      <c r="E314" s="1" t="n">
        <v>46216</v>
      </c>
      <c r="F314" t="inlineStr">
        <is>
          <t>VÄSTRA GÖTALANDS LÄN</t>
        </is>
      </c>
      <c r="G314" t="inlineStr">
        <is>
          <t>MUNKEDAL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1559-2025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45667</v>
      </c>
      <c r="E315" s="1" t="n">
        <v>46216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54875-2024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45618</v>
      </c>
      <c r="E316" s="1" t="n">
        <v>46216</v>
      </c>
      <c r="F316" t="inlineStr">
        <is>
          <t>VÄSTRA GÖTALANDS LÄN</t>
        </is>
      </c>
      <c r="G316" t="inlineStr">
        <is>
          <t>MUNKEDAL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24180-2025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45796</v>
      </c>
      <c r="E317" s="1" t="n">
        <v>46216</v>
      </c>
      <c r="F317" t="inlineStr">
        <is>
          <t>VÄSTRA GÖTALANDS LÄN</t>
        </is>
      </c>
      <c r="G317" t="inlineStr">
        <is>
          <t>MUNKEDAL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23610-2023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45072</v>
      </c>
      <c r="E318" s="1" t="n">
        <v>46216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Kommuner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7554-2024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45348</v>
      </c>
      <c r="E319" s="1" t="n">
        <v>46216</v>
      </c>
      <c r="F319" t="inlineStr">
        <is>
          <t>VÄSTRA GÖTALANDS LÄN</t>
        </is>
      </c>
      <c r="G319" t="inlineStr">
        <is>
          <t>MUNKEDAL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20753-2026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46141</v>
      </c>
      <c r="E320" s="1" t="n">
        <v>46216</v>
      </c>
      <c r="F320" t="inlineStr">
        <is>
          <t>VÄSTRA GÖTALANDS LÄN</t>
        </is>
      </c>
      <c r="G320" t="inlineStr">
        <is>
          <t>MUNKEDAL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20784-2026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46216</v>
      </c>
      <c r="F321" t="inlineStr">
        <is>
          <t>VÄSTRA GÖTALANDS LÄN</t>
        </is>
      </c>
      <c r="G321" t="inlineStr">
        <is>
          <t>MUNKEDAL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20797-2026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46141</v>
      </c>
      <c r="E322" s="1" t="n">
        <v>46216</v>
      </c>
      <c r="F322" t="inlineStr">
        <is>
          <t>VÄSTRA GÖTALANDS LÄN</t>
        </is>
      </c>
      <c r="G322" t="inlineStr">
        <is>
          <t>MUNKEDAL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33925-2024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45522</v>
      </c>
      <c r="E323" s="1" t="n">
        <v>46216</v>
      </c>
      <c r="F323" t="inlineStr">
        <is>
          <t>VÄSTRA GÖTALANDS LÄN</t>
        </is>
      </c>
      <c r="G323" t="inlineStr">
        <is>
          <t>MUNKEDAL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20456-2026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46140</v>
      </c>
      <c r="E324" s="1" t="n">
        <v>46216</v>
      </c>
      <c r="F324" t="inlineStr">
        <is>
          <t>VÄSTRA GÖTALANDS LÄN</t>
        </is>
      </c>
      <c r="G324" t="inlineStr">
        <is>
          <t>MUNKEDAL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33194-2023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45127</v>
      </c>
      <c r="E325" s="1" t="n">
        <v>46216</v>
      </c>
      <c r="F325" t="inlineStr">
        <is>
          <t>VÄSTRA GÖTALANDS LÄN</t>
        </is>
      </c>
      <c r="G325" t="inlineStr">
        <is>
          <t>MUNKEDAL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45667</v>
      </c>
      <c r="E326" s="1" t="n">
        <v>46216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12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26835-2026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46185</v>
      </c>
      <c r="E327" s="1" t="n">
        <v>46216</v>
      </c>
      <c r="F327" t="inlineStr">
        <is>
          <t>VÄSTRA GÖTALANDS LÄN</t>
        </is>
      </c>
      <c r="G327" t="inlineStr">
        <is>
          <t>MUNKEDAL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20879-2026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46142</v>
      </c>
      <c r="E328" s="1" t="n">
        <v>46216</v>
      </c>
      <c r="F328" t="inlineStr">
        <is>
          <t>VÄSTRA GÖTALANDS LÄN</t>
        </is>
      </c>
      <c r="G328" t="inlineStr">
        <is>
          <t>MUNKEDAL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36906-2023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45153</v>
      </c>
      <c r="E329" s="1" t="n">
        <v>46216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43438-2021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46216</v>
      </c>
      <c r="F330" t="inlineStr">
        <is>
          <t>VÄSTRA GÖTALANDS LÄN</t>
        </is>
      </c>
      <c r="G330" t="inlineStr">
        <is>
          <t>MUNKEDAL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43547-2021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44432</v>
      </c>
      <c r="E331" s="1" t="n">
        <v>46216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Övriga Aktiebolag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21230-2026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46146</v>
      </c>
      <c r="E332" s="1" t="n">
        <v>46216</v>
      </c>
      <c r="F332" t="inlineStr">
        <is>
          <t>VÄSTRA GÖTALANDS LÄN</t>
        </is>
      </c>
      <c r="G332" t="inlineStr">
        <is>
          <t>MUNKEDAL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27255-2026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46216</v>
      </c>
      <c r="F333" t="inlineStr">
        <is>
          <t>VÄSTRA GÖTALANDS LÄN</t>
        </is>
      </c>
      <c r="G333" t="inlineStr">
        <is>
          <t>MUNKEDAL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27532-2026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46189</v>
      </c>
      <c r="E334" s="1" t="n">
        <v>46216</v>
      </c>
      <c r="F334" t="inlineStr">
        <is>
          <t>VÄSTRA GÖTALANDS LÄN</t>
        </is>
      </c>
      <c r="G334" t="inlineStr">
        <is>
          <t>MUNKEDAL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14339-2024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45393</v>
      </c>
      <c r="E335" s="1" t="n">
        <v>46216</v>
      </c>
      <c r="F335" t="inlineStr">
        <is>
          <t>VÄSTRA GÖTALANDS LÄN</t>
        </is>
      </c>
      <c r="G335" t="inlineStr">
        <is>
          <t>MUNKEDAL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41714-2024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45560</v>
      </c>
      <c r="E336" s="1" t="n">
        <v>46216</v>
      </c>
      <c r="F336" t="inlineStr">
        <is>
          <t>VÄSTRA GÖTALANDS LÄN</t>
        </is>
      </c>
      <c r="G336" t="inlineStr">
        <is>
          <t>MUNKEDAL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59160-2022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44897</v>
      </c>
      <c r="E337" s="1" t="n">
        <v>46216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Kyrkan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27607-2026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46190</v>
      </c>
      <c r="E338" s="1" t="n">
        <v>46216</v>
      </c>
      <c r="F338" t="inlineStr">
        <is>
          <t>VÄSTRA GÖTALANDS LÄN</t>
        </is>
      </c>
      <c r="G338" t="inlineStr">
        <is>
          <t>MUNKEDAL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30456-2023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45111</v>
      </c>
      <c r="E339" s="1" t="n">
        <v>46216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Naturvårdsverket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30554-2023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45111</v>
      </c>
      <c r="E340" s="1" t="n">
        <v>46216</v>
      </c>
      <c r="F340" t="inlineStr">
        <is>
          <t>VÄSTRA GÖTALANDS LÄN</t>
        </is>
      </c>
      <c r="G340" t="inlineStr">
        <is>
          <t>MUNKEDAL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24608-2026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46171</v>
      </c>
      <c r="E341" s="1" t="n">
        <v>46216</v>
      </c>
      <c r="F341" t="inlineStr">
        <is>
          <t>VÄSTRA GÖTALANDS LÄN</t>
        </is>
      </c>
      <c r="G341" t="inlineStr">
        <is>
          <t>MUNKEDAL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61695-2023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45261</v>
      </c>
      <c r="E342" s="1" t="n">
        <v>46216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Övriga Aktiebolag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58617-2023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45251</v>
      </c>
      <c r="E343" s="1" t="n">
        <v>46216</v>
      </c>
      <c r="F343" t="inlineStr">
        <is>
          <t>VÄSTRA GÖTALANDS LÄN</t>
        </is>
      </c>
      <c r="G343" t="inlineStr">
        <is>
          <t>MUNKEDAL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7844-2022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44608</v>
      </c>
      <c r="E344" s="1" t="n">
        <v>46216</v>
      </c>
      <c r="F344" t="inlineStr">
        <is>
          <t>VÄSTRA GÖTALANDS LÄN</t>
        </is>
      </c>
      <c r="G344" t="inlineStr">
        <is>
          <t>MUNKEDAL</t>
        </is>
      </c>
      <c r="I344" t="n">
        <v>15.4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50034-2023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45215</v>
      </c>
      <c r="E345" s="1" t="n">
        <v>46216</v>
      </c>
      <c r="F345" t="inlineStr">
        <is>
          <t>VÄSTRA GÖTALANDS LÄN</t>
        </is>
      </c>
      <c r="G345" t="inlineStr">
        <is>
          <t>MUNKEDAL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22518-2023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45071</v>
      </c>
      <c r="E346" s="1" t="n">
        <v>46216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Naturvårdsverket</t>
        </is>
      </c>
      <c r="I346" t="n">
        <v>15.8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35685-2024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45532</v>
      </c>
      <c r="E347" s="1" t="n">
        <v>46216</v>
      </c>
      <c r="F347" t="inlineStr">
        <is>
          <t>VÄSTRA GÖTALANDS LÄN</t>
        </is>
      </c>
      <c r="G347" t="inlineStr">
        <is>
          <t>MUNKEDAL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37419-2023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45155</v>
      </c>
      <c r="E348" s="1" t="n">
        <v>46216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Övriga Aktiebolag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2792-2024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45314</v>
      </c>
      <c r="E349" s="1" t="n">
        <v>46216</v>
      </c>
      <c r="F349" t="inlineStr">
        <is>
          <t>VÄSTRA GÖTALANDS LÄN</t>
        </is>
      </c>
      <c r="G349" t="inlineStr">
        <is>
          <t>MUNKEDAL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29946-2024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45488</v>
      </c>
      <c r="E350" s="1" t="n">
        <v>46216</v>
      </c>
      <c r="F350" t="inlineStr">
        <is>
          <t>VÄSTRA GÖTALANDS LÄN</t>
        </is>
      </c>
      <c r="G350" t="inlineStr">
        <is>
          <t>MUNKEDAL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9739-2023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44984</v>
      </c>
      <c r="E351" s="1" t="n">
        <v>46216</v>
      </c>
      <c r="F351" t="inlineStr">
        <is>
          <t>VÄSTRA GÖTALANDS LÄN</t>
        </is>
      </c>
      <c r="G351" t="inlineStr">
        <is>
          <t>MUNKEDAL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30133-2024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45489</v>
      </c>
      <c r="E352" s="1" t="n">
        <v>46216</v>
      </c>
      <c r="F352" t="inlineStr">
        <is>
          <t>VÄSTRA GÖTALANDS LÄN</t>
        </is>
      </c>
      <c r="G352" t="inlineStr">
        <is>
          <t>MUNKEDAL</t>
        </is>
      </c>
      <c r="I352" t="n">
        <v>10.3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24073-2024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45456</v>
      </c>
      <c r="E353" s="1" t="n">
        <v>46216</v>
      </c>
      <c r="F353" t="inlineStr">
        <is>
          <t>VÄSTRA GÖTALANDS LÄN</t>
        </is>
      </c>
      <c r="G353" t="inlineStr">
        <is>
          <t>MUNKEDAL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64879-2023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45282</v>
      </c>
      <c r="E354" s="1" t="n">
        <v>46216</v>
      </c>
      <c r="F354" t="inlineStr">
        <is>
          <t>VÄSTRA GÖTALANDS LÄN</t>
        </is>
      </c>
      <c r="G354" t="inlineStr">
        <is>
          <t>MUNKEDAL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13661-2025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45736</v>
      </c>
      <c r="E355" s="1" t="n">
        <v>46216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45684</v>
      </c>
      <c r="E356" s="1" t="n">
        <v>46216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Kommuner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20220-2023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45055</v>
      </c>
      <c r="E357" s="1" t="n">
        <v>46216</v>
      </c>
      <c r="F357" t="inlineStr">
        <is>
          <t>VÄSTRA GÖTALANDS LÄN</t>
        </is>
      </c>
      <c r="G357" t="inlineStr">
        <is>
          <t>MUNKEDAL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58157-2025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45982</v>
      </c>
      <c r="E358" s="1" t="n">
        <v>46216</v>
      </c>
      <c r="F358" t="inlineStr">
        <is>
          <t>VÄSTRA GÖTALANDS LÄN</t>
        </is>
      </c>
      <c r="G358" t="inlineStr">
        <is>
          <t>MUNKEDAL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60227-2024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45640</v>
      </c>
      <c r="E359" s="1" t="n">
        <v>46216</v>
      </c>
      <c r="F359" t="inlineStr">
        <is>
          <t>VÄSTRA GÖTALANDS LÄN</t>
        </is>
      </c>
      <c r="G359" t="inlineStr">
        <is>
          <t>MUNKEDAL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29451-2026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46203</v>
      </c>
      <c r="E360" s="1" t="n">
        <v>46216</v>
      </c>
      <c r="F360" t="inlineStr">
        <is>
          <t>VÄSTRA GÖTALANDS LÄN</t>
        </is>
      </c>
      <c r="G360" t="inlineStr">
        <is>
          <t>MUNKEDAL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55183-2024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45620</v>
      </c>
      <c r="E361" s="1" t="n">
        <v>46216</v>
      </c>
      <c r="F361" t="inlineStr">
        <is>
          <t>VÄSTRA GÖTALANDS LÄN</t>
        </is>
      </c>
      <c r="G361" t="inlineStr">
        <is>
          <t>MUNKEDAL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11268-2024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45371</v>
      </c>
      <c r="E362" s="1" t="n">
        <v>46216</v>
      </c>
      <c r="F362" t="inlineStr">
        <is>
          <t>VÄSTRA GÖTALANDS LÄN</t>
        </is>
      </c>
      <c r="G362" t="inlineStr">
        <is>
          <t>MUNKEDAL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22959-2026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46160</v>
      </c>
      <c r="E363" s="1" t="n">
        <v>46216</v>
      </c>
      <c r="F363" t="inlineStr">
        <is>
          <t>VÄSTRA GÖTALANDS LÄN</t>
        </is>
      </c>
      <c r="G363" t="inlineStr">
        <is>
          <t>MUNKEDAL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30555-2023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45111</v>
      </c>
      <c r="E364" s="1" t="n">
        <v>46216</v>
      </c>
      <c r="F364" t="inlineStr">
        <is>
          <t>VÄSTRA GÖTALANDS LÄN</t>
        </is>
      </c>
      <c r="G364" t="inlineStr">
        <is>
          <t>MUNKEDAL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29515-2026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46216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statliga verk och myndigheter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53888-2023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45231</v>
      </c>
      <c r="E366" s="1" t="n">
        <v>46216</v>
      </c>
      <c r="F366" t="inlineStr">
        <is>
          <t>VÄSTRA GÖTALANDS LÄN</t>
        </is>
      </c>
      <c r="G366" t="inlineStr">
        <is>
          <t>MUNKEDAL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4259-2022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44588</v>
      </c>
      <c r="E367" s="1" t="n">
        <v>46216</v>
      </c>
      <c r="F367" t="inlineStr">
        <is>
          <t>VÄSTRA GÖTALANDS LÄN</t>
        </is>
      </c>
      <c r="G367" t="inlineStr">
        <is>
          <t>MUNKEDAL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34222-2023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45138</v>
      </c>
      <c r="E368" s="1" t="n">
        <v>46216</v>
      </c>
      <c r="F368" t="inlineStr">
        <is>
          <t>VÄSTRA GÖTALANDS LÄN</t>
        </is>
      </c>
      <c r="G368" t="inlineStr">
        <is>
          <t>MUNKEDAL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67233-2021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44523</v>
      </c>
      <c r="E369" s="1" t="n">
        <v>46216</v>
      </c>
      <c r="F369" t="inlineStr">
        <is>
          <t>VÄSTRA GÖTALANDS LÄN</t>
        </is>
      </c>
      <c r="G369" t="inlineStr">
        <is>
          <t>MUNKEDAL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24185-2023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45076</v>
      </c>
      <c r="E370" s="1" t="n">
        <v>46216</v>
      </c>
      <c r="F370" t="inlineStr">
        <is>
          <t>VÄSTRA GÖTALANDS LÄN</t>
        </is>
      </c>
      <c r="G370" t="inlineStr">
        <is>
          <t>MUNKEDAL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30002-2026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46216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23876-2026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46216</v>
      </c>
      <c r="F372" t="inlineStr">
        <is>
          <t>VÄSTRA GÖTALANDS LÄN</t>
        </is>
      </c>
      <c r="G372" t="inlineStr">
        <is>
          <t>MUNKEDAL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23872-2026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46216</v>
      </c>
      <c r="F373" t="inlineStr">
        <is>
          <t>VÄSTRA GÖTALANDS LÄN</t>
        </is>
      </c>
      <c r="G373" t="inlineStr">
        <is>
          <t>MUNKEDAL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6723-2025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45700</v>
      </c>
      <c r="E374" s="1" t="n">
        <v>46216</v>
      </c>
      <c r="F374" t="inlineStr">
        <is>
          <t>VÄSTRA GÖTALANDS LÄN</t>
        </is>
      </c>
      <c r="G374" t="inlineStr">
        <is>
          <t>MUNKEDAL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24403-2026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46169</v>
      </c>
      <c r="E375" s="1" t="n">
        <v>46216</v>
      </c>
      <c r="F375" t="inlineStr">
        <is>
          <t>VÄSTRA GÖTALANDS LÄN</t>
        </is>
      </c>
      <c r="G375" t="inlineStr">
        <is>
          <t>MUNKEDAL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447-2024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45296</v>
      </c>
      <c r="E376" s="1" t="n">
        <v>46216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Kyrkan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24393-2026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46216</v>
      </c>
      <c r="F377" t="inlineStr">
        <is>
          <t>VÄSTRA GÖTALANDS LÄN</t>
        </is>
      </c>
      <c r="G377" t="inlineStr">
        <is>
          <t>MUNKEDAL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42005-2023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45174</v>
      </c>
      <c r="E378" s="1" t="n">
        <v>46216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Kyrkan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27850-2023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45093</v>
      </c>
      <c r="E379" s="1" t="n">
        <v>46216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Kyrkan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44620-2021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44436</v>
      </c>
      <c r="E380" s="1" t="n">
        <v>46216</v>
      </c>
      <c r="F380" t="inlineStr">
        <is>
          <t>VÄSTRA GÖTALANDS LÄN</t>
        </is>
      </c>
      <c r="G380" t="inlineStr">
        <is>
          <t>MUNKEDAL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49218-2022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44861</v>
      </c>
      <c r="E381" s="1" t="n">
        <v>46216</v>
      </c>
      <c r="F381" t="inlineStr">
        <is>
          <t>VÄSTRA GÖTALANDS LÄN</t>
        </is>
      </c>
      <c r="G381" t="inlineStr">
        <is>
          <t>MUNKEDAL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9021-2024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45356</v>
      </c>
      <c r="E382" s="1" t="n">
        <v>46216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Övriga Aktiebolag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11262-2024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45371</v>
      </c>
      <c r="E383" s="1" t="n">
        <v>46216</v>
      </c>
      <c r="F383" t="inlineStr">
        <is>
          <t>VÄSTRA GÖTALANDS LÄN</t>
        </is>
      </c>
      <c r="G383" t="inlineStr">
        <is>
          <t>MUNKEDAL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29415-2023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45106</v>
      </c>
      <c r="E384" s="1" t="n">
        <v>46216</v>
      </c>
      <c r="F384" t="inlineStr">
        <is>
          <t>VÄSTRA GÖTALANDS LÄN</t>
        </is>
      </c>
      <c r="G384" t="inlineStr">
        <is>
          <t>MUNKEDAL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17678-2024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45418</v>
      </c>
      <c r="E385" s="1" t="n">
        <v>46216</v>
      </c>
      <c r="F385" t="inlineStr">
        <is>
          <t>VÄSTRA GÖTALANDS LÄN</t>
        </is>
      </c>
      <c r="G385" t="inlineStr">
        <is>
          <t>MUNKEDAL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21125-2022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44704</v>
      </c>
      <c r="E386" s="1" t="n">
        <v>46216</v>
      </c>
      <c r="F386" t="inlineStr">
        <is>
          <t>VÄSTRA GÖTALANDS LÄN</t>
        </is>
      </c>
      <c r="G386" t="inlineStr">
        <is>
          <t>MUNKEDAL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30131-2024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45489</v>
      </c>
      <c r="E387" s="1" t="n">
        <v>46216</v>
      </c>
      <c r="F387" t="inlineStr">
        <is>
          <t>VÄSTRA GÖTALANDS LÄN</t>
        </is>
      </c>
      <c r="G387" t="inlineStr">
        <is>
          <t>MUNKEDAL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32300-2023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46216</v>
      </c>
      <c r="F388" t="inlineStr">
        <is>
          <t>VÄSTRA GÖTALANDS LÄN</t>
        </is>
      </c>
      <c r="G388" t="inlineStr">
        <is>
          <t>MUNKEDAL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46434-2024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45582</v>
      </c>
      <c r="E389" s="1" t="n">
        <v>46216</v>
      </c>
      <c r="F389" t="inlineStr">
        <is>
          <t>VÄSTRA GÖTALANDS LÄN</t>
        </is>
      </c>
      <c r="G389" t="inlineStr">
        <is>
          <t>MUNKEDAL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21086-2025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45777</v>
      </c>
      <c r="E390" s="1" t="n">
        <v>46216</v>
      </c>
      <c r="F390" t="inlineStr">
        <is>
          <t>VÄSTRA GÖTALANDS LÄN</t>
        </is>
      </c>
      <c r="G390" t="inlineStr">
        <is>
          <t>MUNKEDAL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53255-2024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45614</v>
      </c>
      <c r="E391" s="1" t="n">
        <v>46216</v>
      </c>
      <c r="F391" t="inlineStr">
        <is>
          <t>VÄSTRA GÖTALANDS LÄN</t>
        </is>
      </c>
      <c r="G391" t="inlineStr">
        <is>
          <t>MUNKEDAL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21063-2025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45777</v>
      </c>
      <c r="E392" s="1" t="n">
        <v>46216</v>
      </c>
      <c r="F392" t="inlineStr">
        <is>
          <t>VÄSTRA GÖTALANDS LÄN</t>
        </is>
      </c>
      <c r="G392" t="inlineStr">
        <is>
          <t>MUNKEDAL</t>
        </is>
      </c>
      <c r="I392" t="n">
        <v>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21134-2025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45778</v>
      </c>
      <c r="E393" s="1" t="n">
        <v>46216</v>
      </c>
      <c r="F393" t="inlineStr">
        <is>
          <t>VÄSTRA GÖTALANDS LÄN</t>
        </is>
      </c>
      <c r="G393" t="inlineStr">
        <is>
          <t>MUNKEDAL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21135-2025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45778</v>
      </c>
      <c r="E394" s="1" t="n">
        <v>46216</v>
      </c>
      <c r="F394" t="inlineStr">
        <is>
          <t>VÄSTRA GÖTALANDS LÄN</t>
        </is>
      </c>
      <c r="G394" t="inlineStr">
        <is>
          <t>MUNKEDAL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21984-2025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45784</v>
      </c>
      <c r="E395" s="1" t="n">
        <v>46216</v>
      </c>
      <c r="F395" t="inlineStr">
        <is>
          <t>VÄSTRA GÖTALANDS LÄN</t>
        </is>
      </c>
      <c r="G395" t="inlineStr">
        <is>
          <t>MUNKEDAL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21981-2025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45784</v>
      </c>
      <c r="E396" s="1" t="n">
        <v>46216</v>
      </c>
      <c r="F396" t="inlineStr">
        <is>
          <t>VÄSTRA GÖTALANDS LÄN</t>
        </is>
      </c>
      <c r="G396" t="inlineStr">
        <is>
          <t>MUNKEDAL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10228-2025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45720</v>
      </c>
      <c r="E397" s="1" t="n">
        <v>46216</v>
      </c>
      <c r="F397" t="inlineStr">
        <is>
          <t>VÄSTRA GÖTALANDS LÄN</t>
        </is>
      </c>
      <c r="G397" t="inlineStr">
        <is>
          <t>MUNKEDAL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10633-2025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45721</v>
      </c>
      <c r="E398" s="1" t="n">
        <v>46216</v>
      </c>
      <c r="F398" t="inlineStr">
        <is>
          <t>VÄSTRA GÖTALANDS LÄN</t>
        </is>
      </c>
      <c r="G398" t="inlineStr">
        <is>
          <t>MUNKEDAL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14107-2025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45740</v>
      </c>
      <c r="E399" s="1" t="n">
        <v>46216</v>
      </c>
      <c r="F399" t="inlineStr">
        <is>
          <t>VÄSTRA GÖTALANDS LÄN</t>
        </is>
      </c>
      <c r="G399" t="inlineStr">
        <is>
          <t>MUNKEDAL</t>
        </is>
      </c>
      <c r="I399" t="n">
        <v>13.8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16650-2024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45408</v>
      </c>
      <c r="E400" s="1" t="n">
        <v>46216</v>
      </c>
      <c r="F400" t="inlineStr">
        <is>
          <t>VÄSTRA GÖTALANDS LÄN</t>
        </is>
      </c>
      <c r="G400" t="inlineStr">
        <is>
          <t>MUNKEDAL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9558-2025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45714</v>
      </c>
      <c r="E401" s="1" t="n">
        <v>46216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26.5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14327-2025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45740</v>
      </c>
      <c r="E402" s="1" t="n">
        <v>46216</v>
      </c>
      <c r="F402" t="inlineStr">
        <is>
          <t>VÄSTRA GÖTALANDS LÄN</t>
        </is>
      </c>
      <c r="G402" t="inlineStr">
        <is>
          <t>MUNKEDAL</t>
        </is>
      </c>
      <c r="I402" t="n">
        <v>12.7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23527-2025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45792</v>
      </c>
      <c r="E403" s="1" t="n">
        <v>46216</v>
      </c>
      <c r="F403" t="inlineStr">
        <is>
          <t>VÄSTRA GÖTALANDS LÄN</t>
        </is>
      </c>
      <c r="G403" t="inlineStr">
        <is>
          <t>MUNKEDAL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24396-2025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45797</v>
      </c>
      <c r="E404" s="1" t="n">
        <v>46216</v>
      </c>
      <c r="F404" t="inlineStr">
        <is>
          <t>VÄSTRA GÖTALANDS LÄN</t>
        </is>
      </c>
      <c r="G404" t="inlineStr">
        <is>
          <t>MUNKEDAL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24397-2025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45797</v>
      </c>
      <c r="E405" s="1" t="n">
        <v>46216</v>
      </c>
      <c r="F405" t="inlineStr">
        <is>
          <t>VÄSTRA GÖTALANDS LÄN</t>
        </is>
      </c>
      <c r="G405" t="inlineStr">
        <is>
          <t>MUNKEDAL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6222-2025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45696</v>
      </c>
      <c r="E406" s="1" t="n">
        <v>46216</v>
      </c>
      <c r="F406" t="inlineStr">
        <is>
          <t>VÄSTRA GÖTALANDS LÄN</t>
        </is>
      </c>
      <c r="G406" t="inlineStr">
        <is>
          <t>MUNKEDAL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47758-2024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45588</v>
      </c>
      <c r="E407" s="1" t="n">
        <v>46216</v>
      </c>
      <c r="F407" t="inlineStr">
        <is>
          <t>VÄSTRA GÖTALANDS LÄN</t>
        </is>
      </c>
      <c r="G407" t="inlineStr">
        <is>
          <t>MUNKEDAL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44482-2023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45189</v>
      </c>
      <c r="E408" s="1" t="n">
        <v>46216</v>
      </c>
      <c r="F408" t="inlineStr">
        <is>
          <t>VÄSTRA GÖTALANDS LÄN</t>
        </is>
      </c>
      <c r="G408" t="inlineStr">
        <is>
          <t>MUNKEDAL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S 3940-2021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44390</v>
      </c>
      <c r="E409" s="1" t="n">
        <v>46216</v>
      </c>
      <c r="F409" t="inlineStr">
        <is>
          <t>VÄSTRA GÖTALANDS LÄN</t>
        </is>
      </c>
      <c r="G409" t="inlineStr">
        <is>
          <t>MUNKEDAL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46216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46216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46216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46216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46216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2026-07-13T14:52:42Z</dcterms:created>
  <dcterms:modified xmlns:dcterms="http://purl.org/dc/terms/" xmlns:xsi="http://www.w3.org/2001/XMLSchema-instance" xsi:type="dcterms:W3CDTF">2026-07-13T14:52:42Z</dcterms:modified>
</cp:coreProperties>
</file>