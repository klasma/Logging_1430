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46274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46274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46274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46274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46274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46274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46274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46274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46274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46274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46274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46274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46274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46274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46274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46274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46274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45670</v>
      </c>
      <c r="E20" s="1" t="n">
        <v>46274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19.8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Mattlummer</t>
        </is>
      </c>
      <c r="W20">
        <f>HYPERLINK("https://klasma.github.io/Logging_1430/artfynd/A 1647-2025 artfynd.xlsx", "A 1647-2025")</f>
        <v/>
      </c>
      <c r="X20">
        <f>HYPERLINK("https://klasma.github.io/Logging_1430/kartor/A 1647-2025 karta.png", "A 1647-2025")</f>
        <v/>
      </c>
      <c r="Y20">
        <f>HYPERLINK("https://klasma.github.io/Logging_1430/kartor_geotiff/A 1647-2025 georefererad karta.tif", "A 1647-2025")</f>
        <v/>
      </c>
      <c r="AA20">
        <f>HYPERLINK("https://klasma.github.io/Logging_1430/klagomål/A 1647-2025 FSC-klagomål.docx", "A 1647-2025")</f>
        <v/>
      </c>
      <c r="AB20">
        <f>HYPERLINK("https://klasma.github.io/Logging_1430/klagomålsmail/A 1647-2025 FSC-klagomål mail.docx", "A 1647-2025")</f>
        <v/>
      </c>
      <c r="AC20">
        <f>HYPERLINK("https://klasma.github.io/Logging_1430/tillsyn/A 1647-2025 tillsynsbegäran.docx", "A 1647-2025")</f>
        <v/>
      </c>
      <c r="AD20">
        <f>HYPERLINK("https://klasma.github.io/Logging_1430/tillsynsmail/A 1647-2025 tillsynsbegäran mail.docx", "A 1647-2025")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46274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46274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46274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46274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46274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46274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45083-2024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46274</v>
      </c>
      <c r="F27" t="inlineStr">
        <is>
          <t>VÄSTRA GÖTALANDS LÄN</t>
        </is>
      </c>
      <c r="G27" t="inlineStr">
        <is>
          <t>MUNKEDAL</t>
        </is>
      </c>
      <c r="I27" t="n">
        <v>2.7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HYPERLINK("https://klasma.github.io/Logging_1430/artfynd/A 45083-2024 artfynd.xlsx", "A 45083-2024")</f>
        <v/>
      </c>
      <c r="X27">
        <f>HYPERLINK("https://klasma.github.io/Logging_1430/kartor/A 45083-2024 karta.png", "A 45083-2024")</f>
        <v/>
      </c>
      <c r="Y27">
        <f>HYPERLINK("https://klasma.github.io/Logging_1430/kartor_geotiff/A 45083-2024 georefererad karta.tif", "A 45083-2024")</f>
        <v/>
      </c>
      <c r="AA27">
        <f>HYPERLINK("https://klasma.github.io/Logging_1430/klagomål/A 45083-2024 FSC-klagomål.docx", "A 45083-2024")</f>
        <v/>
      </c>
      <c r="AB27">
        <f>HYPERLINK("https://klasma.github.io/Logging_1430/klagomålsmail/A 45083-2024 FSC-klagomål mail.docx", "A 45083-2024")</f>
        <v/>
      </c>
      <c r="AC27">
        <f>HYPERLINK("https://klasma.github.io/Logging_1430/tillsyn/A 45083-2024 tillsynsbegäran.docx", "A 45083-2024")</f>
        <v/>
      </c>
      <c r="AD27">
        <f>HYPERLINK("https://klasma.github.io/Logging_1430/tillsynsmail/A 45083-2024 tillsynsbegäran mail.docx", "A 45083-2024")</f>
        <v/>
      </c>
    </row>
    <row r="28" ht="15" customHeight="1">
      <c r="A28" t="inlineStr">
        <is>
          <t>A 62525-2021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46274</v>
      </c>
      <c r="F28" t="inlineStr">
        <is>
          <t>VÄSTRA GÖTALANDS LÄN</t>
        </is>
      </c>
      <c r="G28" t="inlineStr">
        <is>
          <t>MUNKEDAL</t>
        </is>
      </c>
      <c r="I28" t="n">
        <v>14.5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Trollsmultron</t>
        </is>
      </c>
      <c r="W28">
        <f>HYPERLINK("https://klasma.github.io/Logging_1430/artfynd/A 62525-2021 artfynd.xlsx", "A 62525-2021")</f>
        <v/>
      </c>
      <c r="X28">
        <f>HYPERLINK("https://klasma.github.io/Logging_1430/kartor/A 62525-2021 karta.png", "A 62525-2021")</f>
        <v/>
      </c>
      <c r="Y28">
        <f>HYPERLINK("https://klasma.github.io/Logging_1430/kartor_geotiff/A 62525-2021 georefererad karta.tif", "A 62525-2021")</f>
        <v/>
      </c>
      <c r="AA28">
        <f>HYPERLINK("https://klasma.github.io/Logging_1430/klagomål/A 62525-2021 FSC-klagomål.docx", "A 62525-2021")</f>
        <v/>
      </c>
      <c r="AB28">
        <f>HYPERLINK("https://klasma.github.io/Logging_1430/klagomålsmail/A 62525-2021 FSC-klagomål mail.docx", "A 62525-2021")</f>
        <v/>
      </c>
      <c r="AC28">
        <f>HYPERLINK("https://klasma.github.io/Logging_1430/tillsyn/A 62525-2021 tillsynsbegäran.docx", "A 62525-2021")</f>
        <v/>
      </c>
      <c r="AD28">
        <f>HYPERLINK("https://klasma.github.io/Logging_1430/tillsynsmail/A 62525-2021 tillsynsbegäran mail.docx", "A 62525-2021")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46274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46274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46274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46274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46274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46274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46274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46274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46274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46274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46274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46274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46274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46274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46274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46274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46274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46274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46274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46274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50336-2021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46274</v>
      </c>
      <c r="F49" t="inlineStr">
        <is>
          <t>VÄSTRA GÖTALANDS LÄN</t>
        </is>
      </c>
      <c r="G49" t="inlineStr">
        <is>
          <t>MUNKEDAL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46274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44683</v>
      </c>
      <c r="E51" s="1" t="n">
        <v>46274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46274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46274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46274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46274</v>
      </c>
      <c r="F55" t="inlineStr">
        <is>
          <t>VÄSTRA GÖTALANDS LÄN</t>
        </is>
      </c>
      <c r="G55" t="inlineStr">
        <is>
          <t>MUNKEDAL</t>
        </is>
      </c>
      <c r="I55" t="n">
        <v>20.2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46274</v>
      </c>
      <c r="F56" t="inlineStr">
        <is>
          <t>VÄSTRA GÖTALANDS LÄN</t>
        </is>
      </c>
      <c r="G56" t="inlineStr">
        <is>
          <t>MUNKEDAL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46274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46274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46274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46274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46274</v>
      </c>
      <c r="F61" t="inlineStr">
        <is>
          <t>VÄSTRA GÖTALANDS LÄN</t>
        </is>
      </c>
      <c r="G61" t="inlineStr">
        <is>
          <t>MUNKEDAL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46274</v>
      </c>
      <c r="F62" t="inlineStr">
        <is>
          <t>VÄSTRA GÖTALANDS LÄN</t>
        </is>
      </c>
      <c r="G62" t="inlineStr">
        <is>
          <t>MUNKEDAL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46274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Kyrkan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46274</v>
      </c>
      <c r="F64" t="inlineStr">
        <is>
          <t>VÄSTRA GÖTALANDS LÄN</t>
        </is>
      </c>
      <c r="G64" t="inlineStr">
        <is>
          <t>MUNKEDAL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3858-2024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45322</v>
      </c>
      <c r="E65" s="1" t="n">
        <v>46274</v>
      </c>
      <c r="F65" t="inlineStr">
        <is>
          <t>VÄSTRA GÖTALANDS LÄN</t>
        </is>
      </c>
      <c r="G65" t="inlineStr">
        <is>
          <t>MUNKEDAL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44481</v>
      </c>
      <c r="E66" s="1" t="n">
        <v>46274</v>
      </c>
      <c r="F66" t="inlineStr">
        <is>
          <t>VÄSTRA GÖTALANDS LÄN</t>
        </is>
      </c>
      <c r="G66" t="inlineStr">
        <is>
          <t>MUNKEDAL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45640</v>
      </c>
      <c r="E67" s="1" t="n">
        <v>46274</v>
      </c>
      <c r="F67" t="inlineStr">
        <is>
          <t>VÄSTRA GÖTALANDS LÄN</t>
        </is>
      </c>
      <c r="G67" t="inlineStr">
        <is>
          <t>MUNKEDAL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27644-2023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46274</v>
      </c>
      <c r="F68" t="inlineStr">
        <is>
          <t>VÄSTRA GÖTALANDS LÄN</t>
        </is>
      </c>
      <c r="G68" t="inlineStr">
        <is>
          <t>MUNKEDAL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46274</v>
      </c>
      <c r="F69" t="inlineStr">
        <is>
          <t>VÄSTRA GÖTALANDS LÄN</t>
        </is>
      </c>
      <c r="G69" t="inlineStr">
        <is>
          <t>MUNKEDAL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46274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44747</v>
      </c>
      <c r="E71" s="1" t="n">
        <v>46274</v>
      </c>
      <c r="F71" t="inlineStr">
        <is>
          <t>VÄSTRA GÖTALANDS LÄN</t>
        </is>
      </c>
      <c r="G71" t="inlineStr">
        <is>
          <t>MUNKEDAL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46274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46274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46274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Kommuner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45022</v>
      </c>
      <c r="E75" s="1" t="n">
        <v>46274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46274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45540</v>
      </c>
      <c r="E77" s="1" t="n">
        <v>46274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Övriga Aktiebolag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46274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46274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46274</v>
      </c>
      <c r="F80" t="inlineStr">
        <is>
          <t>VÄSTRA GÖTALANDS LÄN</t>
        </is>
      </c>
      <c r="G80" t="inlineStr">
        <is>
          <t>MUNKEDAL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46274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Kommuner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45084</v>
      </c>
      <c r="E82" s="1" t="n">
        <v>46274</v>
      </c>
      <c r="F82" t="inlineStr">
        <is>
          <t>VÄSTRA GÖTALANDS LÄN</t>
        </is>
      </c>
      <c r="G82" t="inlineStr">
        <is>
          <t>MUNKEDAL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45293</v>
      </c>
      <c r="E83" s="1" t="n">
        <v>46274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45455</v>
      </c>
      <c r="E84" s="1" t="n">
        <v>46274</v>
      </c>
      <c r="F84" t="inlineStr">
        <is>
          <t>VÄSTRA GÖTALANDS LÄN</t>
        </is>
      </c>
      <c r="G84" t="inlineStr">
        <is>
          <t>MUNKEDAL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46274</v>
      </c>
      <c r="F85" t="inlineStr">
        <is>
          <t>VÄSTRA GÖTALANDS LÄN</t>
        </is>
      </c>
      <c r="G85" t="inlineStr">
        <is>
          <t>MUNKEDAL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46274</v>
      </c>
      <c r="F86" t="inlineStr">
        <is>
          <t>VÄSTRA GÖTALANDS LÄN</t>
        </is>
      </c>
      <c r="G86" t="inlineStr">
        <is>
          <t>MUNKEDAL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46274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Naturvårdsverket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45076</v>
      </c>
      <c r="E88" s="1" t="n">
        <v>46274</v>
      </c>
      <c r="F88" t="inlineStr">
        <is>
          <t>VÄSTRA GÖTALANDS LÄN</t>
        </is>
      </c>
      <c r="G88" t="inlineStr">
        <is>
          <t>MUNKEDAL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44630</v>
      </c>
      <c r="E89" s="1" t="n">
        <v>46274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45029</v>
      </c>
      <c r="E90" s="1" t="n">
        <v>46274</v>
      </c>
      <c r="F90" t="inlineStr">
        <is>
          <t>VÄSTRA GÖTALANDS LÄN</t>
        </is>
      </c>
      <c r="G90" t="inlineStr">
        <is>
          <t>MUNKEDAL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44984</v>
      </c>
      <c r="E91" s="1" t="n">
        <v>46274</v>
      </c>
      <c r="F91" t="inlineStr">
        <is>
          <t>VÄSTRA GÖTALANDS LÄN</t>
        </is>
      </c>
      <c r="G91" t="inlineStr">
        <is>
          <t>MUNKEDAL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46274</v>
      </c>
      <c r="F92" t="inlineStr">
        <is>
          <t>VÄSTRA GÖTALANDS LÄN</t>
        </is>
      </c>
      <c r="G92" t="inlineStr">
        <is>
          <t>MUNKEDAL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46274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25.2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46274</v>
      </c>
      <c r="F94" t="inlineStr">
        <is>
          <t>VÄSTRA GÖTALANDS LÄN</t>
        </is>
      </c>
      <c r="G94" t="inlineStr">
        <is>
          <t>MUNKEDAL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45317</v>
      </c>
      <c r="E95" s="1" t="n">
        <v>46274</v>
      </c>
      <c r="F95" t="inlineStr">
        <is>
          <t>VÄSTRA GÖTALANDS LÄN</t>
        </is>
      </c>
      <c r="G95" t="inlineStr">
        <is>
          <t>MUNKEDAL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46274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46274</v>
      </c>
      <c r="F97" t="inlineStr">
        <is>
          <t>VÄSTRA GÖTALANDS LÄN</t>
        </is>
      </c>
      <c r="G97" t="inlineStr">
        <is>
          <t>MUNKEDAL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46274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46274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Kyrkan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46274</v>
      </c>
      <c r="F100" t="inlineStr">
        <is>
          <t>VÄSTRA GÖTALANDS LÄN</t>
        </is>
      </c>
      <c r="G100" t="inlineStr">
        <is>
          <t>MUNKEDAL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46274</v>
      </c>
      <c r="F101" t="inlineStr">
        <is>
          <t>VÄSTRA GÖTALANDS LÄN</t>
        </is>
      </c>
      <c r="G101" t="inlineStr">
        <is>
          <t>MUNKEDAL</t>
        </is>
      </c>
      <c r="I101" t="n">
        <v>25.2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44993</v>
      </c>
      <c r="E102" s="1" t="n">
        <v>46274</v>
      </c>
      <c r="F102" t="inlineStr">
        <is>
          <t>VÄSTRA GÖTALANDS LÄN</t>
        </is>
      </c>
      <c r="G102" t="inlineStr">
        <is>
          <t>MUNKEDAL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46274</v>
      </c>
      <c r="F103" t="inlineStr">
        <is>
          <t>VÄSTRA GÖTALANDS LÄN</t>
        </is>
      </c>
      <c r="G103" t="inlineStr">
        <is>
          <t>MUNKEDAL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45049</v>
      </c>
      <c r="E104" s="1" t="n">
        <v>46274</v>
      </c>
      <c r="F104" t="inlineStr">
        <is>
          <t>VÄSTRA GÖTALANDS LÄN</t>
        </is>
      </c>
      <c r="G104" t="inlineStr">
        <is>
          <t>MUNKEDAL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46274</v>
      </c>
      <c r="F105" t="inlineStr">
        <is>
          <t>VÄSTRA GÖTALANDS LÄN</t>
        </is>
      </c>
      <c r="G105" t="inlineStr">
        <is>
          <t>MUNKEDAL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46274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46274</v>
      </c>
      <c r="F107" t="inlineStr">
        <is>
          <t>VÄSTRA GÖTALANDS LÄN</t>
        </is>
      </c>
      <c r="G107" t="inlineStr">
        <is>
          <t>MUNKEDAL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46274</v>
      </c>
      <c r="F108" t="inlineStr">
        <is>
          <t>VÄSTRA GÖTALANDS LÄN</t>
        </is>
      </c>
      <c r="G108" t="inlineStr">
        <is>
          <t>MUNKEDAL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46274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46274</v>
      </c>
      <c r="F110" t="inlineStr">
        <is>
          <t>VÄSTRA GÖTALANDS LÄN</t>
        </is>
      </c>
      <c r="G110" t="inlineStr">
        <is>
          <t>MUNKEDAL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45261</v>
      </c>
      <c r="E111" s="1" t="n">
        <v>46274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Övriga Aktiebolag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45233</v>
      </c>
      <c r="E112" s="1" t="n">
        <v>46274</v>
      </c>
      <c r="F112" t="inlineStr">
        <is>
          <t>VÄSTRA GÖTALANDS LÄN</t>
        </is>
      </c>
      <c r="G112" t="inlineStr">
        <is>
          <t>MUNKEDAL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45388</v>
      </c>
      <c r="E113" s="1" t="n">
        <v>46274</v>
      </c>
      <c r="F113" t="inlineStr">
        <is>
          <t>VÄSTRA GÖTALANDS LÄN</t>
        </is>
      </c>
      <c r="G113" t="inlineStr">
        <is>
          <t>MUNKEDAL</t>
        </is>
      </c>
      <c r="I113" t="n">
        <v>9.6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46274</v>
      </c>
      <c r="F114" t="inlineStr">
        <is>
          <t>VÄSTRA GÖTALANDS LÄN</t>
        </is>
      </c>
      <c r="G114" t="inlineStr">
        <is>
          <t>MUNKEDAL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45540</v>
      </c>
      <c r="E115" s="1" t="n">
        <v>46274</v>
      </c>
      <c r="F115" t="inlineStr">
        <is>
          <t>VÄSTRA GÖTALANDS LÄN</t>
        </is>
      </c>
      <c r="G115" t="inlineStr">
        <is>
          <t>MUNKEDAL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46274</v>
      </c>
      <c r="F116" t="inlineStr">
        <is>
          <t>VÄSTRA GÖTALANDS LÄN</t>
        </is>
      </c>
      <c r="G116" t="inlineStr">
        <is>
          <t>MUNKEDAL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46274</v>
      </c>
      <c r="F117" t="inlineStr">
        <is>
          <t>VÄSTRA GÖTALANDS LÄN</t>
        </is>
      </c>
      <c r="G117" t="inlineStr">
        <is>
          <t>MUNKEDAL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45619</v>
      </c>
      <c r="E118" s="1" t="n">
        <v>46274</v>
      </c>
      <c r="F118" t="inlineStr">
        <is>
          <t>VÄSTRA GÖTALANDS LÄN</t>
        </is>
      </c>
      <c r="G118" t="inlineStr">
        <is>
          <t>MUNKEDAL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46274</v>
      </c>
      <c r="F119" t="inlineStr">
        <is>
          <t>VÄSTRA GÖTALANDS LÄN</t>
        </is>
      </c>
      <c r="G119" t="inlineStr">
        <is>
          <t>MUNKEDAL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46274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45484</v>
      </c>
      <c r="E121" s="1" t="n">
        <v>46274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46274</v>
      </c>
      <c r="F122" t="inlineStr">
        <is>
          <t>VÄSTRA GÖTALANDS LÄN</t>
        </is>
      </c>
      <c r="G122" t="inlineStr">
        <is>
          <t>MUNKEDAL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45881</v>
      </c>
      <c r="E123" s="1" t="n">
        <v>46274</v>
      </c>
      <c r="F123" t="inlineStr">
        <is>
          <t>VÄSTRA GÖTALANDS LÄN</t>
        </is>
      </c>
      <c r="G123" t="inlineStr">
        <is>
          <t>MUNKEDAL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46274</v>
      </c>
      <c r="F124" t="inlineStr">
        <is>
          <t>VÄSTRA GÖTALANDS LÄN</t>
        </is>
      </c>
      <c r="G124" t="inlineStr">
        <is>
          <t>MUNKEDAL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46274</v>
      </c>
      <c r="F125" t="inlineStr">
        <is>
          <t>VÄSTRA GÖTALANDS LÄN</t>
        </is>
      </c>
      <c r="G125" t="inlineStr">
        <is>
          <t>MUNKEDAL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46274</v>
      </c>
      <c r="F126" t="inlineStr">
        <is>
          <t>VÄSTRA GÖTALANDS LÄN</t>
        </is>
      </c>
      <c r="G126" t="inlineStr">
        <is>
          <t>MUNKEDAL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46274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46274</v>
      </c>
      <c r="F128" t="inlineStr">
        <is>
          <t>VÄSTRA GÖTALANDS LÄN</t>
        </is>
      </c>
      <c r="G128" t="inlineStr">
        <is>
          <t>MUNKEDAL</t>
        </is>
      </c>
      <c r="I128" t="n">
        <v>14.1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45293</v>
      </c>
      <c r="E129" s="1" t="n">
        <v>46274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45063</v>
      </c>
      <c r="E130" s="1" t="n">
        <v>46274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45148</v>
      </c>
      <c r="E131" s="1" t="n">
        <v>46274</v>
      </c>
      <c r="F131" t="inlineStr">
        <is>
          <t>VÄSTRA GÖTALANDS LÄN</t>
        </is>
      </c>
      <c r="G131" t="inlineStr">
        <is>
          <t>MUNKEDAL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46274</v>
      </c>
      <c r="F132" t="inlineStr">
        <is>
          <t>VÄSTRA GÖTALANDS LÄN</t>
        </is>
      </c>
      <c r="G132" t="inlineStr">
        <is>
          <t>MUNKEDAL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46274</v>
      </c>
      <c r="F133" t="inlineStr">
        <is>
          <t>VÄSTRA GÖTALANDS LÄN</t>
        </is>
      </c>
      <c r="G133" t="inlineStr">
        <is>
          <t>MUNKEDAL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46274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46274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46274</v>
      </c>
      <c r="F136" t="inlineStr">
        <is>
          <t>VÄSTRA GÖTALANDS LÄN</t>
        </is>
      </c>
      <c r="G136" t="inlineStr">
        <is>
          <t>MUNKEDAL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46274</v>
      </c>
      <c r="F137" t="inlineStr">
        <is>
          <t>VÄSTRA GÖTALANDS LÄN</t>
        </is>
      </c>
      <c r="G137" t="inlineStr">
        <is>
          <t>MUNKEDAL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45355</v>
      </c>
      <c r="E138" s="1" t="n">
        <v>46274</v>
      </c>
      <c r="F138" t="inlineStr">
        <is>
          <t>VÄSTRA GÖTALANDS LÄN</t>
        </is>
      </c>
      <c r="G138" t="inlineStr">
        <is>
          <t>MUNKEDAL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46274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46050</v>
      </c>
      <c r="E140" s="1" t="n">
        <v>46274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Kyrkan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45874</v>
      </c>
      <c r="E141" s="1" t="n">
        <v>46274</v>
      </c>
      <c r="F141" t="inlineStr">
        <is>
          <t>VÄSTRA GÖTALANDS LÄN</t>
        </is>
      </c>
      <c r="G141" t="inlineStr">
        <is>
          <t>MUNKEDAL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46274</v>
      </c>
      <c r="F142" t="inlineStr">
        <is>
          <t>VÄSTRA GÖTALANDS LÄN</t>
        </is>
      </c>
      <c r="G142" t="inlineStr">
        <is>
          <t>MUNKEDAL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46274</v>
      </c>
      <c r="F143" t="inlineStr">
        <is>
          <t>VÄSTRA GÖTALANDS LÄN</t>
        </is>
      </c>
      <c r="G143" t="inlineStr">
        <is>
          <t>MUNKEDAL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46274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46274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46274</v>
      </c>
      <c r="F146" t="inlineStr">
        <is>
          <t>VÄSTRA GÖTALANDS LÄN</t>
        </is>
      </c>
      <c r="G146" t="inlineStr">
        <is>
          <t>MUNKEDAL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46274</v>
      </c>
      <c r="F147" t="inlineStr">
        <is>
          <t>VÄSTRA GÖTALANDS LÄN</t>
        </is>
      </c>
      <c r="G147" t="inlineStr">
        <is>
          <t>MUNKEDAL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46274</v>
      </c>
      <c r="F148" t="inlineStr">
        <is>
          <t>VÄSTRA GÖTALANDS LÄN</t>
        </is>
      </c>
      <c r="G148" t="inlineStr">
        <is>
          <t>MUNKEDAL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45921</v>
      </c>
      <c r="E149" s="1" t="n">
        <v>46274</v>
      </c>
      <c r="F149" t="inlineStr">
        <is>
          <t>VÄSTRA GÖTALANDS LÄN</t>
        </is>
      </c>
      <c r="G149" t="inlineStr">
        <is>
          <t>MUNKEDAL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46274</v>
      </c>
      <c r="F150" t="inlineStr">
        <is>
          <t>VÄSTRA GÖTALANDS LÄN</t>
        </is>
      </c>
      <c r="G150" t="inlineStr">
        <is>
          <t>MUNKEDAL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46274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Kommuner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46274</v>
      </c>
      <c r="F152" t="inlineStr">
        <is>
          <t>VÄSTRA GÖTALANDS LÄN</t>
        </is>
      </c>
      <c r="G152" t="inlineStr">
        <is>
          <t>MUNKEDAL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46274</v>
      </c>
      <c r="F153" t="inlineStr">
        <is>
          <t>VÄSTRA GÖTALANDS LÄN</t>
        </is>
      </c>
      <c r="G153" t="inlineStr">
        <is>
          <t>MUNKEDAL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46274</v>
      </c>
      <c r="F154" t="inlineStr">
        <is>
          <t>VÄSTRA GÖTALANDS LÄN</t>
        </is>
      </c>
      <c r="G154" t="inlineStr">
        <is>
          <t>MUNKEDAL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46274</v>
      </c>
      <c r="F155" t="inlineStr">
        <is>
          <t>VÄSTRA GÖTALANDS LÄN</t>
        </is>
      </c>
      <c r="G155" t="inlineStr">
        <is>
          <t>MUNKEDAL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46274</v>
      </c>
      <c r="F156" t="inlineStr">
        <is>
          <t>VÄSTRA GÖTALANDS LÄN</t>
        </is>
      </c>
      <c r="G156" t="inlineStr">
        <is>
          <t>MUNKEDAL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46142</v>
      </c>
      <c r="E157" s="1" t="n">
        <v>46274</v>
      </c>
      <c r="F157" t="inlineStr">
        <is>
          <t>VÄSTRA GÖTALANDS LÄN</t>
        </is>
      </c>
      <c r="G157" t="inlineStr">
        <is>
          <t>MUNKEDAL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46274</v>
      </c>
      <c r="F158" t="inlineStr">
        <is>
          <t>VÄSTRA GÖTALANDS LÄN</t>
        </is>
      </c>
      <c r="G158" t="inlineStr">
        <is>
          <t>MUNKEDAL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46274</v>
      </c>
      <c r="F159" t="inlineStr">
        <is>
          <t>VÄSTRA GÖTALANDS LÄN</t>
        </is>
      </c>
      <c r="G159" t="inlineStr">
        <is>
          <t>MUNKEDAL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46274</v>
      </c>
      <c r="F160" t="inlineStr">
        <is>
          <t>VÄSTRA GÖTALANDS LÄN</t>
        </is>
      </c>
      <c r="G160" t="inlineStr">
        <is>
          <t>MUNKEDAL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46274</v>
      </c>
      <c r="F161" t="inlineStr">
        <is>
          <t>VÄSTRA GÖTALANDS LÄN</t>
        </is>
      </c>
      <c r="G161" t="inlineStr">
        <is>
          <t>MUNKEDAL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44904</v>
      </c>
      <c r="E162" s="1" t="n">
        <v>46274</v>
      </c>
      <c r="F162" t="inlineStr">
        <is>
          <t>VÄSTRA GÖTALANDS LÄN</t>
        </is>
      </c>
      <c r="G162" t="inlineStr">
        <is>
          <t>MUNKEDAL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46274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44672</v>
      </c>
      <c r="E164" s="1" t="n">
        <v>46274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46274</v>
      </c>
      <c r="F165" t="inlineStr">
        <is>
          <t>VÄSTRA GÖTALANDS LÄN</t>
        </is>
      </c>
      <c r="G165" t="inlineStr">
        <is>
          <t>MUNKEDAL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46274</v>
      </c>
      <c r="F166" t="inlineStr">
        <is>
          <t>VÄSTRA GÖTALANDS LÄN</t>
        </is>
      </c>
      <c r="G166" t="inlineStr">
        <is>
          <t>MUNKEDAL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46274</v>
      </c>
      <c r="F167" t="inlineStr">
        <is>
          <t>VÄSTRA GÖTALANDS LÄN</t>
        </is>
      </c>
      <c r="G167" t="inlineStr">
        <is>
          <t>MUNKEDAL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46274</v>
      </c>
      <c r="F168" t="inlineStr">
        <is>
          <t>VÄSTRA GÖTALANDS LÄN</t>
        </is>
      </c>
      <c r="G168" t="inlineStr">
        <is>
          <t>MUNKEDAL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46274</v>
      </c>
      <c r="F169" t="inlineStr">
        <is>
          <t>VÄSTRA GÖTALANDS LÄN</t>
        </is>
      </c>
      <c r="G169" t="inlineStr">
        <is>
          <t>MUNKEDAL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46274</v>
      </c>
      <c r="F170" t="inlineStr">
        <is>
          <t>VÄSTRA GÖTALANDS LÄN</t>
        </is>
      </c>
      <c r="G170" t="inlineStr">
        <is>
          <t>MUNKEDAL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46274</v>
      </c>
      <c r="F171" t="inlineStr">
        <is>
          <t>VÄSTRA GÖTALANDS LÄN</t>
        </is>
      </c>
      <c r="G171" t="inlineStr">
        <is>
          <t>MUNKEDAL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46274</v>
      </c>
      <c r="F172" t="inlineStr">
        <is>
          <t>VÄSTRA GÖTALANDS LÄN</t>
        </is>
      </c>
      <c r="G172" t="inlineStr">
        <is>
          <t>MUNKEDAL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45636</v>
      </c>
      <c r="E173" s="1" t="n">
        <v>46274</v>
      </c>
      <c r="F173" t="inlineStr">
        <is>
          <t>VÄSTRA GÖTALANDS LÄN</t>
        </is>
      </c>
      <c r="G173" t="inlineStr">
        <is>
          <t>MUNKEDAL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46274</v>
      </c>
      <c r="F174" t="inlineStr">
        <is>
          <t>VÄSTRA GÖTALANDS LÄN</t>
        </is>
      </c>
      <c r="G174" t="inlineStr">
        <is>
          <t>MUNKEDAL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44749</v>
      </c>
      <c r="E175" s="1" t="n">
        <v>46274</v>
      </c>
      <c r="F175" t="inlineStr">
        <is>
          <t>VÄSTRA GÖTALANDS LÄN</t>
        </is>
      </c>
      <c r="G175" t="inlineStr">
        <is>
          <t>MUNKEDAL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49912-2023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45214</v>
      </c>
      <c r="E176" s="1" t="n">
        <v>46274</v>
      </c>
      <c r="F176" t="inlineStr">
        <is>
          <t>VÄSTRA GÖTALANDS LÄN</t>
        </is>
      </c>
      <c r="G176" t="inlineStr">
        <is>
          <t>MUNKEDAL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46274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Naturvårdsverket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45488</v>
      </c>
      <c r="E178" s="1" t="n">
        <v>46274</v>
      </c>
      <c r="F178" t="inlineStr">
        <is>
          <t>VÄSTRA GÖTALANDS LÄN</t>
        </is>
      </c>
      <c r="G178" t="inlineStr">
        <is>
          <t>MUNKEDAL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46274</v>
      </c>
      <c r="F179" t="inlineStr">
        <is>
          <t>VÄSTRA GÖTALANDS LÄN</t>
        </is>
      </c>
      <c r="G179" t="inlineStr">
        <is>
          <t>MUNKEDAL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46274</v>
      </c>
      <c r="F180" t="inlineStr">
        <is>
          <t>VÄSTRA GÖTALANDS LÄN</t>
        </is>
      </c>
      <c r="G180" t="inlineStr">
        <is>
          <t>MUNKEDAL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28667-2022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46274</v>
      </c>
      <c r="F181" t="inlineStr">
        <is>
          <t>VÄSTRA GÖTALANDS LÄN</t>
        </is>
      </c>
      <c r="G181" t="inlineStr">
        <is>
          <t>MUNKEDAL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45982</v>
      </c>
      <c r="E182" s="1" t="n">
        <v>46274</v>
      </c>
      <c r="F182" t="inlineStr">
        <is>
          <t>VÄSTRA GÖTALANDS LÄN</t>
        </is>
      </c>
      <c r="G182" t="inlineStr">
        <is>
          <t>MUNKEDAL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46274</v>
      </c>
      <c r="F183" t="inlineStr">
        <is>
          <t>VÄSTRA GÖTALANDS LÄN</t>
        </is>
      </c>
      <c r="G183" t="inlineStr">
        <is>
          <t>MUNKEDAL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46160</v>
      </c>
      <c r="E184" s="1" t="n">
        <v>46274</v>
      </c>
      <c r="F184" t="inlineStr">
        <is>
          <t>VÄSTRA GÖTALANDS LÄN</t>
        </is>
      </c>
      <c r="G184" t="inlineStr">
        <is>
          <t>MUNKEDAL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29515-2026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46274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statliga verk och myndigheter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45362</v>
      </c>
      <c r="E186" s="1" t="n">
        <v>46274</v>
      </c>
      <c r="F186" t="inlineStr">
        <is>
          <t>VÄSTRA GÖTALANDS LÄN</t>
        </is>
      </c>
      <c r="G186" t="inlineStr">
        <is>
          <t>MUNKEDAL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44774</v>
      </c>
      <c r="E187" s="1" t="n">
        <v>46274</v>
      </c>
      <c r="F187" t="inlineStr">
        <is>
          <t>VÄSTRA GÖTALANDS LÄN</t>
        </is>
      </c>
      <c r="G187" t="inlineStr">
        <is>
          <t>MUNKEDAL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44920</v>
      </c>
      <c r="E188" s="1" t="n">
        <v>46274</v>
      </c>
      <c r="F188" t="inlineStr">
        <is>
          <t>VÄSTRA GÖTALANDS LÄN</t>
        </is>
      </c>
      <c r="G188" t="inlineStr">
        <is>
          <t>MUNKEDAL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44920</v>
      </c>
      <c r="E189" s="1" t="n">
        <v>46274</v>
      </c>
      <c r="F189" t="inlineStr">
        <is>
          <t>VÄSTRA GÖTALANDS LÄN</t>
        </is>
      </c>
      <c r="G189" t="inlineStr">
        <is>
          <t>MUNKEDAL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46274</v>
      </c>
      <c r="F190" t="inlineStr">
        <is>
          <t>VÄSTRA GÖTALANDS LÄN</t>
        </is>
      </c>
      <c r="G190" t="inlineStr">
        <is>
          <t>MUNKEDAL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46274</v>
      </c>
      <c r="F191" t="inlineStr">
        <is>
          <t>VÄSTRA GÖTALANDS LÄN</t>
        </is>
      </c>
      <c r="G191" t="inlineStr">
        <is>
          <t>MUNKEDAL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46274</v>
      </c>
      <c r="F192" t="inlineStr">
        <is>
          <t>VÄSTRA GÖTALANDS LÄN</t>
        </is>
      </c>
      <c r="G192" t="inlineStr">
        <is>
          <t>MUNKEDAL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45002</v>
      </c>
      <c r="E193" s="1" t="n">
        <v>46274</v>
      </c>
      <c r="F193" t="inlineStr">
        <is>
          <t>VÄSTRA GÖTALANDS LÄN</t>
        </is>
      </c>
      <c r="G193" t="inlineStr">
        <is>
          <t>MUNKEDAL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46274</v>
      </c>
      <c r="F194" t="inlineStr">
        <is>
          <t>VÄSTRA GÖTALANDS LÄN</t>
        </is>
      </c>
      <c r="G194" t="inlineStr">
        <is>
          <t>MUNKEDAL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46274</v>
      </c>
      <c r="F195" t="inlineStr">
        <is>
          <t>VÄSTRA GÖTALANDS LÄN</t>
        </is>
      </c>
      <c r="G195" t="inlineStr">
        <is>
          <t>MUNKEDAL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46274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45296</v>
      </c>
      <c r="E197" s="1" t="n">
        <v>46274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45174</v>
      </c>
      <c r="E198" s="1" t="n">
        <v>46274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Kyrkan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44866</v>
      </c>
      <c r="E199" s="1" t="n">
        <v>46274</v>
      </c>
      <c r="F199" t="inlineStr">
        <is>
          <t>VÄSTRA GÖTALANDS LÄN</t>
        </is>
      </c>
      <c r="G199" t="inlineStr">
        <is>
          <t>MUNKEDAL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44606</v>
      </c>
      <c r="E200" s="1" t="n">
        <v>46274</v>
      </c>
      <c r="F200" t="inlineStr">
        <is>
          <t>VÄSTRA GÖTALANDS LÄN</t>
        </is>
      </c>
      <c r="G200" t="inlineStr">
        <is>
          <t>MUNKEDAL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46274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46274</v>
      </c>
      <c r="F202" t="inlineStr">
        <is>
          <t>VÄSTRA GÖTALANDS LÄN</t>
        </is>
      </c>
      <c r="G202" t="inlineStr">
        <is>
          <t>MUNKEDAL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46274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13303-2023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45005</v>
      </c>
      <c r="E204" s="1" t="n">
        <v>46274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45560</v>
      </c>
      <c r="E205" s="1" t="n">
        <v>46274</v>
      </c>
      <c r="F205" t="inlineStr">
        <is>
          <t>VÄSTRA GÖTALANDS LÄN</t>
        </is>
      </c>
      <c r="G205" t="inlineStr">
        <is>
          <t>MUNKEDAL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46274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46274</v>
      </c>
      <c r="F207" t="inlineStr">
        <is>
          <t>VÄSTRA GÖTALANDS LÄN</t>
        </is>
      </c>
      <c r="G207" t="inlineStr">
        <is>
          <t>MUNKEDAL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46274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46274</v>
      </c>
      <c r="F209" t="inlineStr">
        <is>
          <t>VÄSTRA GÖTALANDS LÄN</t>
        </is>
      </c>
      <c r="G209" t="inlineStr">
        <is>
          <t>MUNKEDAL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46274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46171</v>
      </c>
      <c r="E211" s="1" t="n">
        <v>46274</v>
      </c>
      <c r="F211" t="inlineStr">
        <is>
          <t>VÄSTRA GÖTALANDS LÄN</t>
        </is>
      </c>
      <c r="G211" t="inlineStr">
        <is>
          <t>MUNKEDAL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46274</v>
      </c>
      <c r="F212" t="inlineStr">
        <is>
          <t>VÄSTRA GÖTALANDS LÄN</t>
        </is>
      </c>
      <c r="G212" t="inlineStr">
        <is>
          <t>MUNKEDAL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46274</v>
      </c>
      <c r="F213" t="inlineStr">
        <is>
          <t>VÄSTRA GÖTALANDS LÄN</t>
        </is>
      </c>
      <c r="G213" t="inlineStr">
        <is>
          <t>MUNKEDAL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46440-2024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46274</v>
      </c>
      <c r="F214" t="inlineStr">
        <is>
          <t>VÄSTRA GÖTALANDS LÄN</t>
        </is>
      </c>
      <c r="G214" t="inlineStr">
        <is>
          <t>MUNKEDAL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45674</v>
      </c>
      <c r="E215" s="1" t="n">
        <v>46274</v>
      </c>
      <c r="F215" t="inlineStr">
        <is>
          <t>VÄSTRA GÖTALANDS LÄN</t>
        </is>
      </c>
      <c r="G215" t="inlineStr">
        <is>
          <t>MUNKEDAL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46274</v>
      </c>
      <c r="F216" t="inlineStr">
        <is>
          <t>VÄSTRA GÖTALANDS LÄN</t>
        </is>
      </c>
      <c r="G216" t="inlineStr">
        <is>
          <t>MUNKEDAL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45313</v>
      </c>
      <c r="E217" s="1" t="n">
        <v>46274</v>
      </c>
      <c r="F217" t="inlineStr">
        <is>
          <t>VÄSTRA GÖTALANDS LÄN</t>
        </is>
      </c>
      <c r="G217" t="inlineStr">
        <is>
          <t>MUNKEDAL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46274</v>
      </c>
      <c r="F218" t="inlineStr">
        <is>
          <t>VÄSTRA GÖTALANDS LÄN</t>
        </is>
      </c>
      <c r="G218" t="inlineStr">
        <is>
          <t>MUNKEDAL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46274</v>
      </c>
      <c r="F219" t="inlineStr">
        <is>
          <t>VÄSTRA GÖTALANDS LÄN</t>
        </is>
      </c>
      <c r="G219" t="inlineStr">
        <is>
          <t>MUNKEDAL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45640</v>
      </c>
      <c r="E220" s="1" t="n">
        <v>46274</v>
      </c>
      <c r="F220" t="inlineStr">
        <is>
          <t>VÄSTRA GÖTALANDS LÄN</t>
        </is>
      </c>
      <c r="G220" t="inlineStr">
        <is>
          <t>MUNKEDAL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46274</v>
      </c>
      <c r="F221" t="inlineStr">
        <is>
          <t>VÄSTRA GÖTALANDS LÄN</t>
        </is>
      </c>
      <c r="G221" t="inlineStr">
        <is>
          <t>MUNKEDAL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46274</v>
      </c>
      <c r="F222" t="inlineStr">
        <is>
          <t>VÄSTRA GÖTALANDS LÄN</t>
        </is>
      </c>
      <c r="G222" t="inlineStr">
        <is>
          <t>MUNKEDAL</t>
        </is>
      </c>
      <c r="I222" t="n">
        <v>17.5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46274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46274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46274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46003</v>
      </c>
      <c r="E226" s="1" t="n">
        <v>46274</v>
      </c>
      <c r="F226" t="inlineStr">
        <is>
          <t>VÄSTRA GÖTALANDS LÄN</t>
        </is>
      </c>
      <c r="G226" t="inlineStr">
        <is>
          <t>MUNKEDAL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46274</v>
      </c>
      <c r="F227" t="inlineStr">
        <is>
          <t>VÄSTRA GÖTALANDS LÄN</t>
        </is>
      </c>
      <c r="G227" t="inlineStr">
        <is>
          <t>MUNKEDAL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62500-2025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46274</v>
      </c>
      <c r="F228" t="inlineStr">
        <is>
          <t>VÄSTRA GÖTALANDS LÄN</t>
        </is>
      </c>
      <c r="G228" t="inlineStr">
        <is>
          <t>MUNKEDAL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64132-2025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46274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27607-2026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46190</v>
      </c>
      <c r="E230" s="1" t="n">
        <v>46274</v>
      </c>
      <c r="F230" t="inlineStr">
        <is>
          <t>VÄSTRA GÖTALANDS LÄN</t>
        </is>
      </c>
      <c r="G230" t="inlineStr">
        <is>
          <t>MUNKEDAL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45664</v>
      </c>
      <c r="E231" s="1" t="n">
        <v>46274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46189</v>
      </c>
      <c r="E232" s="1" t="n">
        <v>46274</v>
      </c>
      <c r="F232" t="inlineStr">
        <is>
          <t>VÄSTRA GÖTALANDS LÄN</t>
        </is>
      </c>
      <c r="G232" t="inlineStr">
        <is>
          <t>MUNKEDAL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45296</v>
      </c>
      <c r="E233" s="1" t="n">
        <v>46274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Kyrkan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46274</v>
      </c>
      <c r="F234" t="inlineStr">
        <is>
          <t>VÄSTRA GÖTALANDS LÄN</t>
        </is>
      </c>
      <c r="G234" t="inlineStr">
        <is>
          <t>MUNKEDAL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46022</v>
      </c>
      <c r="E235" s="1" t="n">
        <v>46274</v>
      </c>
      <c r="F235" t="inlineStr">
        <is>
          <t>VÄSTRA GÖTALANDS LÄN</t>
        </is>
      </c>
      <c r="G235" t="inlineStr">
        <is>
          <t>MUNKEDAL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46022</v>
      </c>
      <c r="E236" s="1" t="n">
        <v>46274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46274</v>
      </c>
      <c r="F237" t="inlineStr">
        <is>
          <t>VÄSTRA GÖTALANDS LÄN</t>
        </is>
      </c>
      <c r="G237" t="inlineStr">
        <is>
          <t>MUNKEDAL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29707-2022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44755</v>
      </c>
      <c r="E238" s="1" t="n">
        <v>46274</v>
      </c>
      <c r="F238" t="inlineStr">
        <is>
          <t>VÄSTRA GÖTALANDS LÄN</t>
        </is>
      </c>
      <c r="G238" t="inlineStr">
        <is>
          <t>MUNKEDAL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45325</v>
      </c>
      <c r="E239" s="1" t="n">
        <v>46274</v>
      </c>
      <c r="F239" t="inlineStr">
        <is>
          <t>VÄSTRA GÖTALANDS LÄN</t>
        </is>
      </c>
      <c r="G239" t="inlineStr">
        <is>
          <t>MUNKEDAL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46274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46239</v>
      </c>
      <c r="E241" s="1" t="n">
        <v>46274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46274</v>
      </c>
      <c r="F242" t="inlineStr">
        <is>
          <t>VÄSTRA GÖTALANDS LÄN</t>
        </is>
      </c>
      <c r="G242" t="inlineStr">
        <is>
          <t>MUNKEDAL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46274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45147</v>
      </c>
      <c r="E244" s="1" t="n">
        <v>46274</v>
      </c>
      <c r="F244" t="inlineStr">
        <is>
          <t>VÄSTRA GÖTALANDS LÄN</t>
        </is>
      </c>
      <c r="G244" t="inlineStr">
        <is>
          <t>MUNKEDAL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46274</v>
      </c>
      <c r="F245" t="inlineStr">
        <is>
          <t>VÄSTRA GÖTALANDS LÄN</t>
        </is>
      </c>
      <c r="G245" t="inlineStr">
        <is>
          <t>MUNKEDAL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46274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45755</v>
      </c>
      <c r="E247" s="1" t="n">
        <v>46274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46274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46244</v>
      </c>
      <c r="E249" s="1" t="n">
        <v>46274</v>
      </c>
      <c r="F249" t="inlineStr">
        <is>
          <t>VÄSTRA GÖTALANDS LÄN</t>
        </is>
      </c>
      <c r="G249" t="inlineStr">
        <is>
          <t>MUNKEDAL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46202</v>
      </c>
      <c r="E250" s="1" t="n">
        <v>46274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53839-2021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44467</v>
      </c>
      <c r="E251" s="1" t="n">
        <v>46274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45618</v>
      </c>
      <c r="E252" s="1" t="n">
        <v>46274</v>
      </c>
      <c r="F252" t="inlineStr">
        <is>
          <t>VÄSTRA GÖTALANDS LÄN</t>
        </is>
      </c>
      <c r="G252" t="inlineStr">
        <is>
          <t>MUNKEDAL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46274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46274</v>
      </c>
      <c r="F254" t="inlineStr">
        <is>
          <t>VÄSTRA GÖTALANDS LÄN</t>
        </is>
      </c>
      <c r="G254" t="inlineStr">
        <is>
          <t>MUNKEDAL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46274</v>
      </c>
      <c r="F255" t="inlineStr">
        <is>
          <t>VÄSTRA GÖTALANDS LÄN</t>
        </is>
      </c>
      <c r="G255" t="inlineStr">
        <is>
          <t>MUNKEDAL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46247</v>
      </c>
      <c r="E256" s="1" t="n">
        <v>46274</v>
      </c>
      <c r="F256" t="inlineStr">
        <is>
          <t>VÄSTRA GÖTALANDS LÄN</t>
        </is>
      </c>
      <c r="G256" t="inlineStr">
        <is>
          <t>MUNKEDAL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46274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18278-2025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45762</v>
      </c>
      <c r="E258" s="1" t="n">
        <v>46274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46274</v>
      </c>
      <c r="F259" t="inlineStr">
        <is>
          <t>VÄSTRA GÖTALANDS LÄN</t>
        </is>
      </c>
      <c r="G259" t="inlineStr">
        <is>
          <t>MUNKEDAL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46247</v>
      </c>
      <c r="E260" s="1" t="n">
        <v>46274</v>
      </c>
      <c r="F260" t="inlineStr">
        <is>
          <t>VÄSTRA GÖTALANDS LÄN</t>
        </is>
      </c>
      <c r="G260" t="inlineStr">
        <is>
          <t>MUNKEDAL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46274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46209</v>
      </c>
      <c r="E262" s="1" t="n">
        <v>46274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46274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46274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46209</v>
      </c>
      <c r="E265" s="1" t="n">
        <v>46274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46209</v>
      </c>
      <c r="E266" s="1" t="n">
        <v>46274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46274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46274</v>
      </c>
      <c r="F268" t="inlineStr">
        <is>
          <t>VÄSTRA GÖTALANDS LÄN</t>
        </is>
      </c>
      <c r="G268" t="inlineStr">
        <is>
          <t>MUNKEDAL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46209</v>
      </c>
      <c r="E269" s="1" t="n">
        <v>46274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46274</v>
      </c>
      <c r="F270" t="inlineStr">
        <is>
          <t>VÄSTRA GÖTALANDS LÄN</t>
        </is>
      </c>
      <c r="G270" t="inlineStr">
        <is>
          <t>MUNKEDAL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46274</v>
      </c>
      <c r="F271" t="inlineStr">
        <is>
          <t>VÄSTRA GÖTALANDS LÄN</t>
        </is>
      </c>
      <c r="G271" t="inlineStr">
        <is>
          <t>MUNKEDAL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46274</v>
      </c>
      <c r="F272" t="inlineStr">
        <is>
          <t>VÄSTRA GÖTALANDS LÄN</t>
        </is>
      </c>
      <c r="G272" t="inlineStr">
        <is>
          <t>MUNKEDAL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46274</v>
      </c>
      <c r="F273" t="inlineStr">
        <is>
          <t>VÄSTRA GÖTALANDS LÄN</t>
        </is>
      </c>
      <c r="G273" t="inlineStr">
        <is>
          <t>MUNKEDAL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46253</v>
      </c>
      <c r="E274" s="1" t="n">
        <v>46274</v>
      </c>
      <c r="F274" t="inlineStr">
        <is>
          <t>VÄSTRA GÖTALANDS LÄN</t>
        </is>
      </c>
      <c r="G274" t="inlineStr">
        <is>
          <t>MUNKEDAL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46274</v>
      </c>
      <c r="F275" t="inlineStr">
        <is>
          <t>VÄSTRA GÖTALANDS LÄN</t>
        </is>
      </c>
      <c r="G275" t="inlineStr">
        <is>
          <t>MUNKEDAL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46274</v>
      </c>
      <c r="F276" t="inlineStr">
        <is>
          <t>VÄSTRA GÖTALANDS LÄN</t>
        </is>
      </c>
      <c r="G276" t="inlineStr">
        <is>
          <t>MUNKEDAL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46274</v>
      </c>
      <c r="F277" t="inlineStr">
        <is>
          <t>VÄSTRA GÖTALANDS LÄN</t>
        </is>
      </c>
      <c r="G277" t="inlineStr">
        <is>
          <t>MUNKEDAL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46253</v>
      </c>
      <c r="E278" s="1" t="n">
        <v>46274</v>
      </c>
      <c r="F278" t="inlineStr">
        <is>
          <t>VÄSTRA GÖTALANDS LÄN</t>
        </is>
      </c>
      <c r="G278" t="inlineStr">
        <is>
          <t>MUNKEDAL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34306-2026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46254</v>
      </c>
      <c r="E279" s="1" t="n">
        <v>46274</v>
      </c>
      <c r="F279" t="inlineStr">
        <is>
          <t>VÄSTRA GÖTALANDS LÄN</t>
        </is>
      </c>
      <c r="G279" t="inlineStr">
        <is>
          <t>MUNKEDAL</t>
        </is>
      </c>
      <c r="I279" t="n">
        <v>11.6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34288-2026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46253</v>
      </c>
      <c r="E280" s="1" t="n">
        <v>46274</v>
      </c>
      <c r="F280" t="inlineStr">
        <is>
          <t>VÄSTRA GÖTALANDS LÄN</t>
        </is>
      </c>
      <c r="G280" t="inlineStr">
        <is>
          <t>MUNKEDAL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34297-2026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46274</v>
      </c>
      <c r="F281" t="inlineStr">
        <is>
          <t>VÄSTRA GÖTALANDS LÄN</t>
        </is>
      </c>
      <c r="G281" t="inlineStr">
        <is>
          <t>MUNKEDAL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46274</v>
      </c>
      <c r="F282" t="inlineStr">
        <is>
          <t>VÄSTRA GÖTALANDS LÄN</t>
        </is>
      </c>
      <c r="G282" t="inlineStr">
        <is>
          <t>MUNKEDAL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46274</v>
      </c>
      <c r="F283" t="inlineStr">
        <is>
          <t>VÄSTRA GÖTALANDS LÄN</t>
        </is>
      </c>
      <c r="G283" t="inlineStr">
        <is>
          <t>MUNKEDAL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46274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46274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46078</v>
      </c>
      <c r="E286" s="1" t="n">
        <v>46274</v>
      </c>
      <c r="F286" t="inlineStr">
        <is>
          <t>VÄSTRA GÖTALANDS LÄN</t>
        </is>
      </c>
      <c r="G286" t="inlineStr">
        <is>
          <t>MUNKEDAL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46274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46274</v>
      </c>
      <c r="F288" t="inlineStr">
        <is>
          <t>VÄSTRA GÖTALANDS LÄN</t>
        </is>
      </c>
      <c r="G288" t="inlineStr">
        <is>
          <t>MUNKEDAL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45070</v>
      </c>
      <c r="E289" s="1" t="n">
        <v>46274</v>
      </c>
      <c r="F289" t="inlineStr">
        <is>
          <t>VÄSTRA GÖTALANDS LÄN</t>
        </is>
      </c>
      <c r="G289" t="inlineStr">
        <is>
          <t>MUNKEDAL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45342</v>
      </c>
      <c r="E290" s="1" t="n">
        <v>46274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Kyrkan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44593</v>
      </c>
      <c r="E291" s="1" t="n">
        <v>46274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46217</v>
      </c>
      <c r="E292" s="1" t="n">
        <v>46274</v>
      </c>
      <c r="F292" t="inlineStr">
        <is>
          <t>VÄSTRA GÖTALANDS LÄN</t>
        </is>
      </c>
      <c r="G292" t="inlineStr">
        <is>
          <t>MUNKEDAL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46217</v>
      </c>
      <c r="E293" s="1" t="n">
        <v>46274</v>
      </c>
      <c r="F293" t="inlineStr">
        <is>
          <t>VÄSTRA GÖTALANDS LÄN</t>
        </is>
      </c>
      <c r="G293" t="inlineStr">
        <is>
          <t>MUNKEDAL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12624-2026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46091</v>
      </c>
      <c r="E294" s="1" t="n">
        <v>46274</v>
      </c>
      <c r="F294" t="inlineStr">
        <is>
          <t>VÄSTRA GÖTALANDS LÄN</t>
        </is>
      </c>
      <c r="G294" t="inlineStr">
        <is>
          <t>MUNKEDAL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46274</v>
      </c>
      <c r="F295" t="inlineStr">
        <is>
          <t>VÄSTRA GÖTALANDS LÄN</t>
        </is>
      </c>
      <c r="G295" t="inlineStr">
        <is>
          <t>MUNKEDAL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46267</v>
      </c>
      <c r="E296" s="1" t="n">
        <v>46274</v>
      </c>
      <c r="F296" t="inlineStr">
        <is>
          <t>VÄSTRA GÖTALANDS LÄN</t>
        </is>
      </c>
      <c r="G296" t="inlineStr">
        <is>
          <t>MUNKEDAL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46274</v>
      </c>
      <c r="F297" t="inlineStr">
        <is>
          <t>VÄSTRA GÖTALANDS LÄN</t>
        </is>
      </c>
      <c r="G297" t="inlineStr">
        <is>
          <t>MUNKEDAL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46274</v>
      </c>
      <c r="F298" t="inlineStr">
        <is>
          <t>VÄSTRA GÖTALANDS LÄN</t>
        </is>
      </c>
      <c r="G298" t="inlineStr">
        <is>
          <t>MUNKEDAL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46267</v>
      </c>
      <c r="E299" s="1" t="n">
        <v>46274</v>
      </c>
      <c r="F299" t="inlineStr">
        <is>
          <t>VÄSTRA GÖTALANDS LÄN</t>
        </is>
      </c>
      <c r="G299" t="inlineStr">
        <is>
          <t>MUNKEDAL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46274</v>
      </c>
      <c r="F300" t="inlineStr">
        <is>
          <t>VÄSTRA GÖTALANDS LÄN</t>
        </is>
      </c>
      <c r="G300" t="inlineStr">
        <is>
          <t>MUNKEDAL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45267</v>
      </c>
      <c r="E301" s="1" t="n">
        <v>46274</v>
      </c>
      <c r="F301" t="inlineStr">
        <is>
          <t>VÄSTRA GÖTALANDS LÄN</t>
        </is>
      </c>
      <c r="G301" t="inlineStr">
        <is>
          <t>MUNKEDAL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46274</v>
      </c>
      <c r="F302" t="inlineStr">
        <is>
          <t>VÄSTRA GÖTALANDS LÄN</t>
        </is>
      </c>
      <c r="G302" t="inlineStr">
        <is>
          <t>MUNKEDAL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46274</v>
      </c>
      <c r="F303" t="inlineStr">
        <is>
          <t>VÄSTRA GÖTALANDS LÄN</t>
        </is>
      </c>
      <c r="G303" t="inlineStr">
        <is>
          <t>MUNKEDAL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46274</v>
      </c>
      <c r="F304" t="inlineStr">
        <is>
          <t>VÄSTRA GÖTALANDS LÄN</t>
        </is>
      </c>
      <c r="G304" t="inlineStr">
        <is>
          <t>MUNKEDAL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46111</v>
      </c>
      <c r="E305" s="1" t="n">
        <v>46274</v>
      </c>
      <c r="F305" t="inlineStr">
        <is>
          <t>VÄSTRA GÖTALANDS LÄN</t>
        </is>
      </c>
      <c r="G305" t="inlineStr">
        <is>
          <t>MUNKEDAL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46273</v>
      </c>
      <c r="E306" s="1" t="n">
        <v>46274</v>
      </c>
      <c r="F306" t="inlineStr">
        <is>
          <t>VÄSTRA GÖTALANDS LÄN</t>
        </is>
      </c>
      <c r="G306" t="inlineStr">
        <is>
          <t>MUNKEDAL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46274</v>
      </c>
      <c r="F307" t="inlineStr">
        <is>
          <t>VÄSTRA GÖTALANDS LÄN</t>
        </is>
      </c>
      <c r="G307" t="inlineStr">
        <is>
          <t>MUNKEDAL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46274</v>
      </c>
      <c r="F308" t="inlineStr">
        <is>
          <t>VÄSTRA GÖTALANDS LÄN</t>
        </is>
      </c>
      <c r="G308" t="inlineStr">
        <is>
          <t>MUNKEDAL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46274</v>
      </c>
      <c r="F309" t="inlineStr">
        <is>
          <t>VÄSTRA GÖTALANDS LÄN</t>
        </is>
      </c>
      <c r="G309" t="inlineStr">
        <is>
          <t>MUNKEDAL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46274</v>
      </c>
      <c r="F310" t="inlineStr">
        <is>
          <t>VÄSTRA GÖTALANDS LÄN</t>
        </is>
      </c>
      <c r="G310" t="inlineStr">
        <is>
          <t>MUNKEDAL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46272</v>
      </c>
      <c r="E311" s="1" t="n">
        <v>46274</v>
      </c>
      <c r="F311" t="inlineStr">
        <is>
          <t>VÄSTRA GÖTALANDS LÄN</t>
        </is>
      </c>
      <c r="G311" t="inlineStr">
        <is>
          <t>MUNKEDAL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16631-2022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44672</v>
      </c>
      <c r="E312" s="1" t="n">
        <v>46274</v>
      </c>
      <c r="F312" t="inlineStr">
        <is>
          <t>VÄSTRA GÖTALANDS LÄN</t>
        </is>
      </c>
      <c r="G312" t="inlineStr">
        <is>
          <t>MUNKEDAL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46129</v>
      </c>
      <c r="E313" s="1" t="n">
        <v>46274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46274</v>
      </c>
      <c r="F314" t="inlineStr">
        <is>
          <t>VÄSTRA GÖTALANDS LÄN</t>
        </is>
      </c>
      <c r="G314" t="inlineStr">
        <is>
          <t>MUNKEDAL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46131</v>
      </c>
      <c r="E315" s="1" t="n">
        <v>46274</v>
      </c>
      <c r="F315" t="inlineStr">
        <is>
          <t>VÄSTRA GÖTALANDS LÄN</t>
        </is>
      </c>
      <c r="G315" t="inlineStr">
        <is>
          <t>MUNKEDAL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44580</v>
      </c>
      <c r="E316" s="1" t="n">
        <v>46274</v>
      </c>
      <c r="F316" t="inlineStr">
        <is>
          <t>VÄSTRA GÖTALANDS LÄN</t>
        </is>
      </c>
      <c r="G316" t="inlineStr">
        <is>
          <t>MUNKEDAL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52302-2022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46274</v>
      </c>
      <c r="F317" t="inlineStr">
        <is>
          <t>VÄSTRA GÖTALANDS LÄN</t>
        </is>
      </c>
      <c r="G317" t="inlineStr">
        <is>
          <t>MUNKEDAL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46274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26699-2024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46274</v>
      </c>
      <c r="F319" t="inlineStr">
        <is>
          <t>VÄSTRA GÖTALANDS LÄN</t>
        </is>
      </c>
      <c r="G319" t="inlineStr">
        <is>
          <t>MUNKEDAL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46274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45769</v>
      </c>
      <c r="E321" s="1" t="n">
        <v>46274</v>
      </c>
      <c r="F321" t="inlineStr">
        <is>
          <t>VÄSTRA GÖTALANDS LÄN</t>
        </is>
      </c>
      <c r="G321" t="inlineStr">
        <is>
          <t>MUNKEDAL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49946-2021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44454</v>
      </c>
      <c r="E322" s="1" t="n">
        <v>46274</v>
      </c>
      <c r="F322" t="inlineStr">
        <is>
          <t>VÄSTRA GÖTALANDS LÄN</t>
        </is>
      </c>
      <c r="G322" t="inlineStr">
        <is>
          <t>MUNKEDAL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45127</v>
      </c>
      <c r="E323" s="1" t="n">
        <v>46274</v>
      </c>
      <c r="F323" t="inlineStr">
        <is>
          <t>VÄSTRA GÖTALANDS LÄN</t>
        </is>
      </c>
      <c r="G323" t="inlineStr">
        <is>
          <t>MUNKEDAL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46274</v>
      </c>
      <c r="F324" t="inlineStr">
        <is>
          <t>VÄSTRA GÖTALANDS LÄN</t>
        </is>
      </c>
      <c r="G324" t="inlineStr">
        <is>
          <t>MUNKEDAL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46274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45618</v>
      </c>
      <c r="E326" s="1" t="n">
        <v>46274</v>
      </c>
      <c r="F326" t="inlineStr">
        <is>
          <t>VÄSTRA GÖTALANDS LÄN</t>
        </is>
      </c>
      <c r="G326" t="inlineStr">
        <is>
          <t>MUNKEDAL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45522</v>
      </c>
      <c r="E327" s="1" t="n">
        <v>46274</v>
      </c>
      <c r="F327" t="inlineStr">
        <is>
          <t>VÄSTRA GÖTALANDS LÄN</t>
        </is>
      </c>
      <c r="G327" t="inlineStr">
        <is>
          <t>MUNKEDAL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45127</v>
      </c>
      <c r="E328" s="1" t="n">
        <v>46274</v>
      </c>
      <c r="F328" t="inlineStr">
        <is>
          <t>VÄSTRA GÖTALANDS LÄN</t>
        </is>
      </c>
      <c r="G328" t="inlineStr">
        <is>
          <t>MUNKEDAL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46274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46274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45393</v>
      </c>
      <c r="E331" s="1" t="n">
        <v>46274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41714-2024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45560</v>
      </c>
      <c r="E332" s="1" t="n">
        <v>46274</v>
      </c>
      <c r="F332" t="inlineStr">
        <is>
          <t>VÄSTRA GÖTALANDS LÄN</t>
        </is>
      </c>
      <c r="G332" t="inlineStr">
        <is>
          <t>MUNKEDAL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46274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46274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Naturvårdsverket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45111</v>
      </c>
      <c r="E335" s="1" t="n">
        <v>46274</v>
      </c>
      <c r="F335" t="inlineStr">
        <is>
          <t>VÄSTRA GÖTALANDS LÄN</t>
        </is>
      </c>
      <c r="G335" t="inlineStr">
        <is>
          <t>MUNKEDAL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45261</v>
      </c>
      <c r="E336" s="1" t="n">
        <v>46274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58617-2023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45251</v>
      </c>
      <c r="E337" s="1" t="n">
        <v>46274</v>
      </c>
      <c r="F337" t="inlineStr">
        <is>
          <t>VÄSTRA GÖTALANDS LÄN</t>
        </is>
      </c>
      <c r="G337" t="inlineStr">
        <is>
          <t>MUNKEDAL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44608</v>
      </c>
      <c r="E338" s="1" t="n">
        <v>46274</v>
      </c>
      <c r="F338" t="inlineStr">
        <is>
          <t>VÄSTRA GÖTALANDS LÄN</t>
        </is>
      </c>
      <c r="G338" t="inlineStr">
        <is>
          <t>MUNKEDAL</t>
        </is>
      </c>
      <c r="I338" t="n">
        <v>15.4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46274</v>
      </c>
      <c r="F339" t="inlineStr">
        <is>
          <t>VÄSTRA GÖTALANDS LÄN</t>
        </is>
      </c>
      <c r="G339" t="inlineStr">
        <is>
          <t>MUNKEDAL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45071</v>
      </c>
      <c r="E340" s="1" t="n">
        <v>46274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Naturvårdsverket</t>
        </is>
      </c>
      <c r="I340" t="n">
        <v>15.8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45532</v>
      </c>
      <c r="E341" s="1" t="n">
        <v>46274</v>
      </c>
      <c r="F341" t="inlineStr">
        <is>
          <t>VÄSTRA GÖTALANDS LÄN</t>
        </is>
      </c>
      <c r="G341" t="inlineStr">
        <is>
          <t>MUNKEDAL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45155</v>
      </c>
      <c r="E342" s="1" t="n">
        <v>46274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45314</v>
      </c>
      <c r="E343" s="1" t="n">
        <v>46274</v>
      </c>
      <c r="F343" t="inlineStr">
        <is>
          <t>VÄSTRA GÖTALANDS LÄN</t>
        </is>
      </c>
      <c r="G343" t="inlineStr">
        <is>
          <t>MUNKEDAL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45488</v>
      </c>
      <c r="E344" s="1" t="n">
        <v>46274</v>
      </c>
      <c r="F344" t="inlineStr">
        <is>
          <t>VÄSTRA GÖTALANDS LÄN</t>
        </is>
      </c>
      <c r="G344" t="inlineStr">
        <is>
          <t>MUNKEDAL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44984</v>
      </c>
      <c r="E345" s="1" t="n">
        <v>46274</v>
      </c>
      <c r="F345" t="inlineStr">
        <is>
          <t>VÄSTRA GÖTALANDS LÄN</t>
        </is>
      </c>
      <c r="G345" t="inlineStr">
        <is>
          <t>MUNKEDAL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46274</v>
      </c>
      <c r="F346" t="inlineStr">
        <is>
          <t>VÄSTRA GÖTALANDS LÄN</t>
        </is>
      </c>
      <c r="G346" t="inlineStr">
        <is>
          <t>MUNKEDAL</t>
        </is>
      </c>
      <c r="I346" t="n">
        <v>10.3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45456</v>
      </c>
      <c r="E347" s="1" t="n">
        <v>46274</v>
      </c>
      <c r="F347" t="inlineStr">
        <is>
          <t>VÄSTRA GÖTALANDS LÄN</t>
        </is>
      </c>
      <c r="G347" t="inlineStr">
        <is>
          <t>MUNKEDAL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64879-2023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46274</v>
      </c>
      <c r="F348" t="inlineStr">
        <is>
          <t>VÄSTRA GÖTALANDS LÄN</t>
        </is>
      </c>
      <c r="G348" t="inlineStr">
        <is>
          <t>MUNKEDAL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45736</v>
      </c>
      <c r="E349" s="1" t="n">
        <v>46274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45684</v>
      </c>
      <c r="E350" s="1" t="n">
        <v>46274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Kommuner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45055</v>
      </c>
      <c r="E351" s="1" t="n">
        <v>46274</v>
      </c>
      <c r="F351" t="inlineStr">
        <is>
          <t>VÄSTRA GÖTALANDS LÄN</t>
        </is>
      </c>
      <c r="G351" t="inlineStr">
        <is>
          <t>MUNKEDAL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60227-2024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45640</v>
      </c>
      <c r="E352" s="1" t="n">
        <v>46274</v>
      </c>
      <c r="F352" t="inlineStr">
        <is>
          <t>VÄSTRA GÖTALANDS LÄN</t>
        </is>
      </c>
      <c r="G352" t="inlineStr">
        <is>
          <t>MUNKEDAL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55183-2024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45620</v>
      </c>
      <c r="E353" s="1" t="n">
        <v>46274</v>
      </c>
      <c r="F353" t="inlineStr">
        <is>
          <t>VÄSTRA GÖTALANDS LÄN</t>
        </is>
      </c>
      <c r="G353" t="inlineStr">
        <is>
          <t>MUNKEDAL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46274</v>
      </c>
      <c r="F354" t="inlineStr">
        <is>
          <t>VÄSTRA GÖTALANDS LÄN</t>
        </is>
      </c>
      <c r="G354" t="inlineStr">
        <is>
          <t>MUNKEDAL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46274</v>
      </c>
      <c r="F355" t="inlineStr">
        <is>
          <t>VÄSTRA GÖTALANDS LÄN</t>
        </is>
      </c>
      <c r="G355" t="inlineStr">
        <is>
          <t>MUNKEDAL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46274</v>
      </c>
      <c r="F356" t="inlineStr">
        <is>
          <t>VÄSTRA GÖTALANDS LÄN</t>
        </is>
      </c>
      <c r="G356" t="inlineStr">
        <is>
          <t>MUNKEDAL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4259-2022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44588</v>
      </c>
      <c r="E357" s="1" t="n">
        <v>46274</v>
      </c>
      <c r="F357" t="inlineStr">
        <is>
          <t>VÄSTRA GÖTALANDS LÄN</t>
        </is>
      </c>
      <c r="G357" t="inlineStr">
        <is>
          <t>MUNKEDAL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45138</v>
      </c>
      <c r="E358" s="1" t="n">
        <v>46274</v>
      </c>
      <c r="F358" t="inlineStr">
        <is>
          <t>VÄSTRA GÖTALANDS LÄN</t>
        </is>
      </c>
      <c r="G358" t="inlineStr">
        <is>
          <t>MUNKEDAL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67233-2021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44523</v>
      </c>
      <c r="E359" s="1" t="n">
        <v>46274</v>
      </c>
      <c r="F359" t="inlineStr">
        <is>
          <t>VÄSTRA GÖTALANDS LÄN</t>
        </is>
      </c>
      <c r="G359" t="inlineStr">
        <is>
          <t>MUNKEDAL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45076</v>
      </c>
      <c r="E360" s="1" t="n">
        <v>46274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45700</v>
      </c>
      <c r="E361" s="1" t="n">
        <v>46274</v>
      </c>
      <c r="F361" t="inlineStr">
        <is>
          <t>VÄSTRA GÖTALANDS LÄN</t>
        </is>
      </c>
      <c r="G361" t="inlineStr">
        <is>
          <t>MUNKEDAL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45296</v>
      </c>
      <c r="E362" s="1" t="n">
        <v>46274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Kyrkan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46274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Kyrkan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49218-2022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44861</v>
      </c>
      <c r="E364" s="1" t="n">
        <v>46274</v>
      </c>
      <c r="F364" t="inlineStr">
        <is>
          <t>VÄSTRA GÖTALANDS LÄN</t>
        </is>
      </c>
      <c r="G364" t="inlineStr">
        <is>
          <t>MUNKEDAL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46274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45371</v>
      </c>
      <c r="E366" s="1" t="n">
        <v>46274</v>
      </c>
      <c r="F366" t="inlineStr">
        <is>
          <t>VÄSTRA GÖTALANDS LÄN</t>
        </is>
      </c>
      <c r="G366" t="inlineStr">
        <is>
          <t>MUNKEDAL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17678-2024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45418</v>
      </c>
      <c r="E367" s="1" t="n">
        <v>46274</v>
      </c>
      <c r="F367" t="inlineStr">
        <is>
          <t>VÄSTRA GÖTALANDS LÄN</t>
        </is>
      </c>
      <c r="G367" t="inlineStr">
        <is>
          <t>MUNKEDAL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44704</v>
      </c>
      <c r="E368" s="1" t="n">
        <v>46274</v>
      </c>
      <c r="F368" t="inlineStr">
        <is>
          <t>VÄSTRA GÖTALANDS LÄN</t>
        </is>
      </c>
      <c r="G368" t="inlineStr">
        <is>
          <t>MUNKEDAL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45489</v>
      </c>
      <c r="E369" s="1" t="n">
        <v>46274</v>
      </c>
      <c r="F369" t="inlineStr">
        <is>
          <t>VÄSTRA GÖTALANDS LÄN</t>
        </is>
      </c>
      <c r="G369" t="inlineStr">
        <is>
          <t>MUNKEDAL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45120</v>
      </c>
      <c r="E370" s="1" t="n">
        <v>46274</v>
      </c>
      <c r="F370" t="inlineStr">
        <is>
          <t>VÄSTRA GÖTALANDS LÄN</t>
        </is>
      </c>
      <c r="G370" t="inlineStr">
        <is>
          <t>MUNKEDAL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46434-2024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45582</v>
      </c>
      <c r="E371" s="1" t="n">
        <v>46274</v>
      </c>
      <c r="F371" t="inlineStr">
        <is>
          <t>VÄSTRA GÖTALANDS LÄN</t>
        </is>
      </c>
      <c r="G371" t="inlineStr">
        <is>
          <t>MUNKEDAL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45777</v>
      </c>
      <c r="E372" s="1" t="n">
        <v>46274</v>
      </c>
      <c r="F372" t="inlineStr">
        <is>
          <t>VÄSTRA GÖTALANDS LÄN</t>
        </is>
      </c>
      <c r="G372" t="inlineStr">
        <is>
          <t>MUNKEDAL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46274</v>
      </c>
      <c r="F373" t="inlineStr">
        <is>
          <t>VÄSTRA GÖTALANDS LÄN</t>
        </is>
      </c>
      <c r="G373" t="inlineStr">
        <is>
          <t>MUNKEDAL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46274</v>
      </c>
      <c r="F374" t="inlineStr">
        <is>
          <t>VÄSTRA GÖTALANDS LÄN</t>
        </is>
      </c>
      <c r="G374" t="inlineStr">
        <is>
          <t>MUNKEDAL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45778</v>
      </c>
      <c r="E375" s="1" t="n">
        <v>46274</v>
      </c>
      <c r="F375" t="inlineStr">
        <is>
          <t>VÄSTRA GÖTALANDS LÄN</t>
        </is>
      </c>
      <c r="G375" t="inlineStr">
        <is>
          <t>MUNKEDAL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45778</v>
      </c>
      <c r="E376" s="1" t="n">
        <v>46274</v>
      </c>
      <c r="F376" t="inlineStr">
        <is>
          <t>VÄSTRA GÖTALANDS LÄN</t>
        </is>
      </c>
      <c r="G376" t="inlineStr">
        <is>
          <t>MUNKEDAL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46274</v>
      </c>
      <c r="F377" t="inlineStr">
        <is>
          <t>VÄSTRA GÖTALANDS LÄN</t>
        </is>
      </c>
      <c r="G377" t="inlineStr">
        <is>
          <t>MUNKEDAL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46274</v>
      </c>
      <c r="F378" t="inlineStr">
        <is>
          <t>VÄSTRA GÖTALANDS LÄN</t>
        </is>
      </c>
      <c r="G378" t="inlineStr">
        <is>
          <t>MUNKEDAL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46274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46274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46274</v>
      </c>
      <c r="F381" t="inlineStr">
        <is>
          <t>VÄSTRA GÖTALANDS LÄN</t>
        </is>
      </c>
      <c r="G381" t="inlineStr">
        <is>
          <t>MUNKEDAL</t>
        </is>
      </c>
      <c r="I381" t="n">
        <v>13.8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45408</v>
      </c>
      <c r="E382" s="1" t="n">
        <v>46274</v>
      </c>
      <c r="F382" t="inlineStr">
        <is>
          <t>VÄSTRA GÖTALANDS LÄN</t>
        </is>
      </c>
      <c r="G382" t="inlineStr">
        <is>
          <t>MUNKEDAL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9558-2025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46274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26.5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46274</v>
      </c>
      <c r="F384" t="inlineStr">
        <is>
          <t>VÄSTRA GÖTALANDS LÄN</t>
        </is>
      </c>
      <c r="G384" t="inlineStr">
        <is>
          <t>MUNKEDAL</t>
        </is>
      </c>
      <c r="I384" t="n">
        <v>12.7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45792</v>
      </c>
      <c r="E385" s="1" t="n">
        <v>46274</v>
      </c>
      <c r="F385" t="inlineStr">
        <is>
          <t>VÄSTRA GÖTALANDS LÄN</t>
        </is>
      </c>
      <c r="G385" t="inlineStr">
        <is>
          <t>MUNKEDAL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45797</v>
      </c>
      <c r="E386" s="1" t="n">
        <v>46274</v>
      </c>
      <c r="F386" t="inlineStr">
        <is>
          <t>VÄSTRA GÖTALANDS LÄN</t>
        </is>
      </c>
      <c r="G386" t="inlineStr">
        <is>
          <t>MUNKEDAL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46274</v>
      </c>
      <c r="F387" t="inlineStr">
        <is>
          <t>VÄSTRA GÖTALANDS LÄN</t>
        </is>
      </c>
      <c r="G387" t="inlineStr">
        <is>
          <t>MUNKEDAL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45696</v>
      </c>
      <c r="E388" s="1" t="n">
        <v>46274</v>
      </c>
      <c r="F388" t="inlineStr">
        <is>
          <t>VÄSTRA GÖTALANDS LÄN</t>
        </is>
      </c>
      <c r="G388" t="inlineStr">
        <is>
          <t>MUNKEDAL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47758-2024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46274</v>
      </c>
      <c r="F389" t="inlineStr">
        <is>
          <t>VÄSTRA GÖTALANDS LÄN</t>
        </is>
      </c>
      <c r="G389" t="inlineStr">
        <is>
          <t>MUNKEDAL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44482-2023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46274</v>
      </c>
      <c r="F390" t="inlineStr">
        <is>
          <t>VÄSTRA GÖTALANDS LÄN</t>
        </is>
      </c>
      <c r="G390" t="inlineStr">
        <is>
          <t>MUNKEDAL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51411-2022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44866</v>
      </c>
      <c r="E391" s="1" t="n">
        <v>46274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45800</v>
      </c>
      <c r="E392" s="1" t="n">
        <v>46274</v>
      </c>
      <c r="F392" t="inlineStr">
        <is>
          <t>VÄSTRA GÖTALANDS LÄN</t>
        </is>
      </c>
      <c r="G392" t="inlineStr">
        <is>
          <t>MUNKEDAL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45803</v>
      </c>
      <c r="E393" s="1" t="n">
        <v>46274</v>
      </c>
      <c r="F393" t="inlineStr">
        <is>
          <t>VÄSTRA GÖTALANDS LÄN</t>
        </is>
      </c>
      <c r="G393" t="inlineStr">
        <is>
          <t>MUNKEDAL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44694</v>
      </c>
      <c r="E394" s="1" t="n">
        <v>46274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45625</v>
      </c>
      <c r="E395" s="1" t="n">
        <v>46274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Kyrkan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45557</v>
      </c>
      <c r="E396" s="1" t="n">
        <v>46274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46274</v>
      </c>
      <c r="F397" t="inlineStr">
        <is>
          <t>VÄSTRA GÖTALANDS LÄN</t>
        </is>
      </c>
      <c r="G397" t="inlineStr">
        <is>
          <t>MUNKEDAL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46274</v>
      </c>
      <c r="F398" t="inlineStr">
        <is>
          <t>VÄSTRA GÖTALANDS LÄN</t>
        </is>
      </c>
      <c r="G398" t="inlineStr">
        <is>
          <t>MUNKEDAL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30614-2025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46274</v>
      </c>
      <c r="F399" t="inlineStr">
        <is>
          <t>VÄSTRA GÖTALANDS LÄN</t>
        </is>
      </c>
      <c r="G399" t="inlineStr">
        <is>
          <t>MUNKEDAL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31176-2025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46274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46274</v>
      </c>
      <c r="F401" t="inlineStr">
        <is>
          <t>VÄSTRA GÖTALANDS LÄN</t>
        </is>
      </c>
      <c r="G401" t="inlineStr">
        <is>
          <t>MUNKEDAL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46274</v>
      </c>
      <c r="F402" t="inlineStr">
        <is>
          <t>VÄSTRA GÖTALANDS LÄN</t>
        </is>
      </c>
      <c r="G402" t="inlineStr">
        <is>
          <t>MUNKEDAL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58325-2024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45632</v>
      </c>
      <c r="E403" s="1" t="n">
        <v>46274</v>
      </c>
      <c r="F403" t="inlineStr">
        <is>
          <t>VÄSTRA GÖTALANDS LÄN</t>
        </is>
      </c>
      <c r="G403" t="inlineStr">
        <is>
          <t>MUNKEDAL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34624-2025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45847</v>
      </c>
      <c r="E404" s="1" t="n">
        <v>46274</v>
      </c>
      <c r="F404" t="inlineStr">
        <is>
          <t>VÄSTRA GÖTALANDS LÄN</t>
        </is>
      </c>
      <c r="G404" t="inlineStr">
        <is>
          <t>MUNKEDAL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34978-2025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45849</v>
      </c>
      <c r="E405" s="1" t="n">
        <v>46274</v>
      </c>
      <c r="F405" t="inlineStr">
        <is>
          <t>VÄSTRA GÖTALANDS LÄN</t>
        </is>
      </c>
      <c r="G405" t="inlineStr">
        <is>
          <t>MUNKEDAL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16968-2025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45755</v>
      </c>
      <c r="E406" s="1" t="n">
        <v>46274</v>
      </c>
      <c r="F406" t="inlineStr">
        <is>
          <t>VÄSTRA GÖTALANDS LÄN</t>
        </is>
      </c>
      <c r="G406" t="inlineStr">
        <is>
          <t>MUNKEDAL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46274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46274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46274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46274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46274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2026-09-09T02:12:45Z</dcterms:created>
  <dcterms:modified xmlns:dcterms="http://purl.org/dc/terms/" xmlns:xsi="http://www.w3.org/2001/XMLSchema-instance" xsi:type="dcterms:W3CDTF">2026-09-09T02:12:45Z</dcterms:modified>
</cp:coreProperties>
</file>