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46307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46307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46307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46307</v>
      </c>
      <c r="F6" t="inlineStr">
        <is>
          <t>VÄSTRA GÖTALANDS LÄN</t>
        </is>
      </c>
      <c r="G6" t="inlineStr">
        <is>
          <t>MUNKEDAL</t>
        </is>
      </c>
      <c r="I6" t="n">
        <v>4.7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Havsörn
Gullviva</t>
        </is>
      </c>
      <c r="W6">
        <f>HYPERLINK("https://klasma.github.io/Logging_1430/artfynd/A 2539-2024 artfynd.xlsx", "A 2539-2024")</f>
        <v/>
      </c>
      <c r="X6">
        <f>HYPERLINK("https://klasma.github.io/Logging_1430/kartor/A 2539-2024 karta.png", "A 2539-2024")</f>
        <v/>
      </c>
      <c r="Y6">
        <f>HYPERLINK("https://klasma.github.io/Logging_1430/kartor_geotiff/A 2539-2024 georefererad karta.tif", "A 2539-2024")</f>
        <v/>
      </c>
      <c r="AA6">
        <f>HYPERLINK("https://klasma.github.io/Logging_1430/klagomål/A 2539-2024 FSC-klagomål.docx", "A 2539-2024")</f>
        <v/>
      </c>
      <c r="AB6">
        <f>HYPERLINK("https://klasma.github.io/Logging_1430/klagomålsmail/A 2539-2024 FSC-klagomål mail.docx", "A 2539-2024")</f>
        <v/>
      </c>
      <c r="AC6">
        <f>HYPERLINK("https://klasma.github.io/Logging_1430/tillsyn/A 2539-2024 tillsynsbegäran.docx", "A 2539-2024")</f>
        <v/>
      </c>
      <c r="AD6">
        <f>HYPERLINK("https://klasma.github.io/Logging_1430/tillsynsmail/A 2539-2024 tillsynsbegäran mail.docx", "A 2539-2024")</f>
        <v/>
      </c>
      <c r="AE6">
        <f>HYPERLINK("https://klasma.github.io/Logging_1430/fåglar/A 2539-2024 prioriterade fågelarter.docx", "A 2539-2024")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46307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46307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46307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46307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46307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Svinrot
Fläcknycklar</t>
        </is>
      </c>
      <c r="W11">
        <f>HYPERLINK("https://klasma.github.io/Logging_1430/artfynd/A 56578-2025 artfynd.xlsx", "A 56578-2025")</f>
        <v/>
      </c>
      <c r="X11">
        <f>HYPERLINK("https://klasma.github.io/Logging_1430/kartor/A 56578-2025 karta.png", "A 56578-2025")</f>
        <v/>
      </c>
      <c r="Y11">
        <f>HYPERLINK("https://klasma.github.io/Logging_1430/kartor_geotiff/A 56578-2025 georefererad karta.tif", "A 56578-2025")</f>
        <v/>
      </c>
      <c r="AA11">
        <f>HYPERLINK("https://klasma.github.io/Logging_1430/klagomål/A 56578-2025 FSC-klagomål.docx", "A 56578-2025")</f>
        <v/>
      </c>
      <c r="AB11">
        <f>HYPERLINK("https://klasma.github.io/Logging_1430/klagomålsmail/A 56578-2025 FSC-klagomål mail.docx", "A 56578-2025")</f>
        <v/>
      </c>
      <c r="AC11">
        <f>HYPERLINK("https://klasma.github.io/Logging_1430/tillsyn/A 56578-2025 tillsynsbegäran.docx", "A 56578-2025")</f>
        <v/>
      </c>
      <c r="AD11">
        <f>HYPERLINK("https://klasma.github.io/Logging_1430/tillsynsmail/A 56578-2025 tillsynsbegäran mail.docx", "A 56578-2025")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46307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46307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46307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2555-2023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46307</v>
      </c>
      <c r="F15" t="inlineStr">
        <is>
          <t>VÄSTRA GÖTALANDS LÄN</t>
        </is>
      </c>
      <c r="G15" t="inlineStr">
        <is>
          <t>MUNKEDAL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HYPERLINK("https://klasma.github.io/Logging_1430/artfynd/A 2555-2023 artfynd.xlsx", "A 2555-2023")</f>
        <v/>
      </c>
      <c r="X15">
        <f>HYPERLINK("https://klasma.github.io/Logging_1430/kartor/A 2555-2023 karta.png", "A 2555-2023")</f>
        <v/>
      </c>
      <c r="Y15">
        <f>HYPERLINK("https://klasma.github.io/Logging_1430/kartor_geotiff/A 2555-2023 georefererad karta.tif", "A 2555-2023")</f>
        <v/>
      </c>
      <c r="AA15">
        <f>HYPERLINK("https://klasma.github.io/Logging_1430/klagomål/A 2555-2023 FSC-klagomål.docx", "A 2555-2023")</f>
        <v/>
      </c>
      <c r="AB15">
        <f>HYPERLINK("https://klasma.github.io/Logging_1430/klagomålsmail/A 2555-2023 FSC-klagomål mail.docx", "A 2555-2023")</f>
        <v/>
      </c>
      <c r="AC15">
        <f>HYPERLINK("https://klasma.github.io/Logging_1430/tillsyn/A 2555-2023 tillsynsbegäran.docx", "A 2555-2023")</f>
        <v/>
      </c>
      <c r="AD15">
        <f>HYPERLINK("https://klasma.github.io/Logging_1430/tillsynsmail/A 2555-2023 tillsynsbegäran mail.docx", "A 2555-2023")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46307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46307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46307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46307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20258-2022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46307</v>
      </c>
      <c r="F20" t="inlineStr">
        <is>
          <t>VÄSTRA GÖTALANDS LÄN</t>
        </is>
      </c>
      <c r="G20" t="inlineStr">
        <is>
          <t>MUNKEDAL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Honungsvaxing</t>
        </is>
      </c>
      <c r="W20">
        <f>HYPERLINK("https://klasma.github.io/Logging_1430/artfynd/A 20258-2022 artfynd.xlsx", "A 20258-2022")</f>
        <v/>
      </c>
      <c r="X20">
        <f>HYPERLINK("https://klasma.github.io/Logging_1430/kartor/A 20258-2022 karta.png", "A 20258-2022")</f>
        <v/>
      </c>
      <c r="Y20">
        <f>HYPERLINK("https://klasma.github.io/Logging_1430/kartor_geotiff/A 20258-2022 georefererad karta.tif", "A 20258-2022")</f>
        <v/>
      </c>
      <c r="AA20">
        <f>HYPERLINK("https://klasma.github.io/Logging_1430/klagomål/A 20258-2022 FSC-klagomål.docx", "A 20258-2022")</f>
        <v/>
      </c>
      <c r="AB20">
        <f>HYPERLINK("https://klasma.github.io/Logging_1430/klagomålsmail/A 20258-2022 FSC-klagomål mail.docx", "A 20258-2022")</f>
        <v/>
      </c>
      <c r="AC20">
        <f>HYPERLINK("https://klasma.github.io/Logging_1430/tillsyn/A 20258-2022 tillsynsbegäran.docx", "A 20258-2022")</f>
        <v/>
      </c>
      <c r="AD20">
        <f>HYPERLINK("https://klasma.github.io/Logging_1430/tillsynsmail/A 20258-2022 tillsynsbegäran mail.docx", "A 20258-2022")</f>
        <v/>
      </c>
    </row>
    <row r="21" ht="15" customHeight="1">
      <c r="A21" t="inlineStr">
        <is>
          <t>A 2887-2025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46307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9.699999999999999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Krusfrö</t>
        </is>
      </c>
      <c r="W21">
        <f>HYPERLINK("https://klasma.github.io/Logging_1430/artfynd/A 2887-2025 artfynd.xlsx", "A 2887-2025")</f>
        <v/>
      </c>
      <c r="X21">
        <f>HYPERLINK("https://klasma.github.io/Logging_1430/kartor/A 2887-2025 karta.png", "A 2887-2025")</f>
        <v/>
      </c>
      <c r="Y21">
        <f>HYPERLINK("https://klasma.github.io/Logging_1430/kartor_geotiff/A 2887-2025 georefererad karta.tif", "A 2887-2025")</f>
        <v/>
      </c>
      <c r="AA21">
        <f>HYPERLINK("https://klasma.github.io/Logging_1430/klagomål/A 2887-2025 FSC-klagomål.docx", "A 2887-2025")</f>
        <v/>
      </c>
      <c r="AB21">
        <f>HYPERLINK("https://klasma.github.io/Logging_1430/klagomålsmail/A 2887-2025 FSC-klagomål mail.docx", "A 2887-2025")</f>
        <v/>
      </c>
      <c r="AC21">
        <f>HYPERLINK("https://klasma.github.io/Logging_1430/tillsyn/A 2887-2025 tillsynsbegäran.docx", "A 2887-2025")</f>
        <v/>
      </c>
      <c r="AD21">
        <f>HYPERLINK("https://klasma.github.io/Logging_1430/tillsynsmail/A 2887-2025 tillsynsbegäran mail.docx", "A 2887-2025")</f>
        <v/>
      </c>
    </row>
    <row r="22" ht="15" customHeight="1">
      <c r="A22" t="inlineStr">
        <is>
          <t>A 51398-2025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46307</v>
      </c>
      <c r="F22" t="inlineStr">
        <is>
          <t>VÄSTRA GÖTALANDS LÄN</t>
        </is>
      </c>
      <c r="G22" t="inlineStr">
        <is>
          <t>MUNKEDAL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HYPERLINK("https://klasma.github.io/Logging_1430/artfynd/A 51398-2025 artfynd.xlsx", "A 51398-2025")</f>
        <v/>
      </c>
      <c r="X22">
        <f>HYPERLINK("https://klasma.github.io/Logging_1430/kartor/A 51398-2025 karta.png", "A 51398-2025")</f>
        <v/>
      </c>
      <c r="Y22">
        <f>HYPERLINK("https://klasma.github.io/Logging_1430/kartor_geotiff/A 51398-2025 georefererad karta.tif", "A 51398-2025")</f>
        <v/>
      </c>
      <c r="AA22">
        <f>HYPERLINK("https://klasma.github.io/Logging_1430/klagomål/A 51398-2025 FSC-klagomål.docx", "A 51398-2025")</f>
        <v/>
      </c>
      <c r="AB22">
        <f>HYPERLINK("https://klasma.github.io/Logging_1430/klagomålsmail/A 51398-2025 FSC-klagomål mail.docx", "A 51398-2025")</f>
        <v/>
      </c>
      <c r="AC22">
        <f>HYPERLINK("https://klasma.github.io/Logging_1430/tillsyn/A 51398-2025 tillsynsbegäran.docx", "A 51398-2025")</f>
        <v/>
      </c>
      <c r="AD22">
        <f>HYPERLINK("https://klasma.github.io/Logging_1430/tillsynsmail/A 51398-2025 tillsynsbegäran mail.docx", "A 51398-2025")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46307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46307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46307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37035-2024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45539</v>
      </c>
      <c r="E26" s="1" t="n">
        <v>46307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43.6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HYPERLINK("https://klasma.github.io/Logging_1430/artfynd/A 37035-2024 artfynd.xlsx", "A 37035-2024")</f>
        <v/>
      </c>
      <c r="X26">
        <f>HYPERLINK("https://klasma.github.io/Logging_1430/kartor/A 37035-2024 karta.png", "A 37035-2024")</f>
        <v/>
      </c>
      <c r="Y26">
        <f>HYPERLINK("https://klasma.github.io/Logging_1430/kartor_geotiff/A 37035-2024 georefererad karta.tif", "A 37035-2024")</f>
        <v/>
      </c>
      <c r="AA26">
        <f>HYPERLINK("https://klasma.github.io/Logging_1430/klagomål/A 37035-2024 FSC-klagomål.docx", "A 37035-2024")</f>
        <v/>
      </c>
      <c r="AB26">
        <f>HYPERLINK("https://klasma.github.io/Logging_1430/klagomålsmail/A 37035-2024 FSC-klagomål mail.docx", "A 37035-2024")</f>
        <v/>
      </c>
      <c r="AC26">
        <f>HYPERLINK("https://klasma.github.io/Logging_1430/tillsyn/A 37035-2024 tillsynsbegäran.docx", "A 37035-2024")</f>
        <v/>
      </c>
      <c r="AD26">
        <f>HYPERLINK("https://klasma.github.io/Logging_1430/tillsynsmail/A 37035-2024 tillsynsbegäran mail.docx", "A 37035-2024")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46307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46307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46307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46307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46307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46307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46307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46307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46307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46307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46307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46307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46307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46307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46307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46307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44823</v>
      </c>
      <c r="E43" s="1" t="n">
        <v>46307</v>
      </c>
      <c r="F43" t="inlineStr">
        <is>
          <t>VÄSTRA GÖTALANDS LÄN</t>
        </is>
      </c>
      <c r="G43" t="inlineStr">
        <is>
          <t>MUNKEDAL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21129-2022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44704</v>
      </c>
      <c r="E44" s="1" t="n">
        <v>46307</v>
      </c>
      <c r="F44" t="inlineStr">
        <is>
          <t>VÄSTRA GÖTALANDS LÄN</t>
        </is>
      </c>
      <c r="G44" t="inlineStr">
        <is>
          <t>MUNKEDAL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46307</v>
      </c>
      <c r="F45" t="inlineStr">
        <is>
          <t>VÄSTRA GÖTALANDS LÄN</t>
        </is>
      </c>
      <c r="G45" t="inlineStr">
        <is>
          <t>MUNKEDAL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43360-2022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46307</v>
      </c>
      <c r="F46" t="inlineStr">
        <is>
          <t>VÄSTRA GÖTALANDS LÄN</t>
        </is>
      </c>
      <c r="G46" t="inlineStr">
        <is>
          <t>MUNKEDAL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46307</v>
      </c>
      <c r="F47" t="inlineStr">
        <is>
          <t>VÄSTRA GÖTALANDS LÄN</t>
        </is>
      </c>
      <c r="G47" t="inlineStr">
        <is>
          <t>MUNKEDAL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46307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46307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46307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46307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2545-2024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45313</v>
      </c>
      <c r="E52" s="1" t="n">
        <v>46307</v>
      </c>
      <c r="F52" t="inlineStr">
        <is>
          <t>VÄSTRA GÖTALANDS LÄN</t>
        </is>
      </c>
      <c r="G52" t="inlineStr">
        <is>
          <t>MUNKEDAL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19887-2022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46307</v>
      </c>
      <c r="F53" t="inlineStr">
        <is>
          <t>VÄSTRA GÖTALANDS LÄN</t>
        </is>
      </c>
      <c r="G53" t="inlineStr">
        <is>
          <t>MUNKEDAL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44747</v>
      </c>
      <c r="E54" s="1" t="n">
        <v>46307</v>
      </c>
      <c r="F54" t="inlineStr">
        <is>
          <t>VÄSTRA GÖTALANDS LÄN</t>
        </is>
      </c>
      <c r="G54" t="inlineStr">
        <is>
          <t>MUNKEDAL</t>
        </is>
      </c>
      <c r="I54" t="n">
        <v>9.800000000000001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46307</v>
      </c>
      <c r="F55" t="inlineStr">
        <is>
          <t>VÄSTRA GÖTALANDS LÄN</t>
        </is>
      </c>
      <c r="G55" t="inlineStr">
        <is>
          <t>MUNKEDAL</t>
        </is>
      </c>
      <c r="H55" t="inlineStr">
        <is>
          <t>Övriga Aktiebolag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45488</v>
      </c>
      <c r="E56" s="1" t="n">
        <v>46307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46307</v>
      </c>
      <c r="F57" t="inlineStr">
        <is>
          <t>VÄSTRA GÖTALANDS LÄN</t>
        </is>
      </c>
      <c r="G57" t="inlineStr">
        <is>
          <t>MUNKEDAL</t>
        </is>
      </c>
      <c r="I57" t="n">
        <v>20.2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46307</v>
      </c>
      <c r="F58" t="inlineStr">
        <is>
          <t>VÄSTRA GÖTALANDS LÄN</t>
        </is>
      </c>
      <c r="G58" t="inlineStr">
        <is>
          <t>MUNKEDAL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45456</v>
      </c>
      <c r="E59" s="1" t="n">
        <v>46307</v>
      </c>
      <c r="F59" t="inlineStr">
        <is>
          <t>VÄSTRA GÖTALANDS LÄN</t>
        </is>
      </c>
      <c r="G59" t="inlineStr">
        <is>
          <t>MUNKEDAL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46307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46307</v>
      </c>
      <c r="F61" t="inlineStr">
        <is>
          <t>VÄSTRA GÖTALANDS LÄN</t>
        </is>
      </c>
      <c r="G61" t="inlineStr">
        <is>
          <t>MUNKEDAL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45488</v>
      </c>
      <c r="E62" s="1" t="n">
        <v>46307</v>
      </c>
      <c r="F62" t="inlineStr">
        <is>
          <t>VÄSTRA GÖTALANDS LÄN</t>
        </is>
      </c>
      <c r="G62" t="inlineStr">
        <is>
          <t>MUNKEDAL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61695-2023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45261</v>
      </c>
      <c r="E63" s="1" t="n">
        <v>46307</v>
      </c>
      <c r="F63" t="inlineStr">
        <is>
          <t>VÄSTRA GÖTALANDS LÄN</t>
        </is>
      </c>
      <c r="G63" t="inlineStr">
        <is>
          <t>MUNKEDAL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45540</v>
      </c>
      <c r="E64" s="1" t="n">
        <v>46307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Övriga Aktiebolag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56892-2023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46307</v>
      </c>
      <c r="F65" t="inlineStr">
        <is>
          <t>VÄSTRA GÖTALANDS LÄN</t>
        </is>
      </c>
      <c r="G65" t="inlineStr">
        <is>
          <t>MUNKEDAL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46307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45296</v>
      </c>
      <c r="E67" s="1" t="n">
        <v>46307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Kyrkan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46307</v>
      </c>
      <c r="F68" t="inlineStr">
        <is>
          <t>VÄSTRA GÖTALANDS LÄN</t>
        </is>
      </c>
      <c r="G68" t="inlineStr">
        <is>
          <t>MUNKEDAL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45393</v>
      </c>
      <c r="E69" s="1" t="n">
        <v>46307</v>
      </c>
      <c r="F69" t="inlineStr">
        <is>
          <t>VÄSTRA GÖTALANDS LÄN</t>
        </is>
      </c>
      <c r="G69" t="inlineStr">
        <is>
          <t>MUNKEDAL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46307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Kyrkan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45755</v>
      </c>
      <c r="E71" s="1" t="n">
        <v>46307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58617-2023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45251</v>
      </c>
      <c r="E72" s="1" t="n">
        <v>46307</v>
      </c>
      <c r="F72" t="inlineStr">
        <is>
          <t>VÄSTRA GÖTALANDS LÄN</t>
        </is>
      </c>
      <c r="G72" t="inlineStr">
        <is>
          <t>MUNKEDAL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45120</v>
      </c>
      <c r="E73" s="1" t="n">
        <v>46307</v>
      </c>
      <c r="F73" t="inlineStr">
        <is>
          <t>VÄSTRA GÖTALANDS LÄN</t>
        </is>
      </c>
      <c r="G73" t="inlineStr">
        <is>
          <t>MUNKEDAL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45667</v>
      </c>
      <c r="E74" s="1" t="n">
        <v>46307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46307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45401</v>
      </c>
      <c r="E76" s="1" t="n">
        <v>46307</v>
      </c>
      <c r="F76" t="inlineStr">
        <is>
          <t>VÄSTRA GÖTALANDS LÄN</t>
        </is>
      </c>
      <c r="G76" t="inlineStr">
        <is>
          <t>MUNKEDAL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46307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46307</v>
      </c>
      <c r="F78" t="inlineStr">
        <is>
          <t>VÄSTRA GÖTALANDS LÄN</t>
        </is>
      </c>
      <c r="G78" t="inlineStr">
        <is>
          <t>MUNKEDAL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46307</v>
      </c>
      <c r="F79" t="inlineStr">
        <is>
          <t>VÄSTRA GÖTALANDS LÄN</t>
        </is>
      </c>
      <c r="G79" t="inlineStr">
        <is>
          <t>MUNKEDAL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11525-2023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46307</v>
      </c>
      <c r="F80" t="inlineStr">
        <is>
          <t>VÄSTRA GÖTALANDS LÄN</t>
        </is>
      </c>
      <c r="G80" t="inlineStr">
        <is>
          <t>MUNKEDAL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46307</v>
      </c>
      <c r="F81" t="inlineStr">
        <is>
          <t>VÄSTRA GÖTALANDS LÄN</t>
        </is>
      </c>
      <c r="G81" t="inlineStr">
        <is>
          <t>MUNKEDAL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27644-2023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45097</v>
      </c>
      <c r="E82" s="1" t="n">
        <v>46307</v>
      </c>
      <c r="F82" t="inlineStr">
        <is>
          <t>VÄSTRA GÖTALANDS LÄN</t>
        </is>
      </c>
      <c r="G82" t="inlineStr">
        <is>
          <t>MUNKEDAL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45063</v>
      </c>
      <c r="E83" s="1" t="n">
        <v>46307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46307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46307</v>
      </c>
      <c r="F85" t="inlineStr">
        <is>
          <t>VÄSTRA GÖTALANDS LÄN</t>
        </is>
      </c>
      <c r="G85" t="inlineStr">
        <is>
          <t>MUNKEDAL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46307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Naturvårdsverket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46307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64879-2023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45282</v>
      </c>
      <c r="E88" s="1" t="n">
        <v>46307</v>
      </c>
      <c r="F88" t="inlineStr">
        <is>
          <t>VÄSTRA GÖTALANDS LÄN</t>
        </is>
      </c>
      <c r="G88" t="inlineStr">
        <is>
          <t>MUNKEDAL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45620</v>
      </c>
      <c r="E89" s="1" t="n">
        <v>46307</v>
      </c>
      <c r="F89" t="inlineStr">
        <is>
          <t>VÄSTRA GÖTALANDS LÄN</t>
        </is>
      </c>
      <c r="G89" t="inlineStr">
        <is>
          <t>MUNKEDAL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46307</v>
      </c>
      <c r="F90" t="inlineStr">
        <is>
          <t>VÄSTRA GÖTALANDS LÄN</t>
        </is>
      </c>
      <c r="G90" t="inlineStr">
        <is>
          <t>MUNKEDAL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46307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46307</v>
      </c>
      <c r="F92" t="inlineStr">
        <is>
          <t>VÄSTRA GÖTALANDS LÄN</t>
        </is>
      </c>
      <c r="G92" t="inlineStr">
        <is>
          <t>MUNKEDAL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46307</v>
      </c>
      <c r="F93" t="inlineStr">
        <is>
          <t>VÄSTRA GÖTALANDS LÄN</t>
        </is>
      </c>
      <c r="G93" t="inlineStr">
        <is>
          <t>MUNKEDAL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46307</v>
      </c>
      <c r="F94" t="inlineStr">
        <is>
          <t>VÄSTRA GÖTALANDS LÄN</t>
        </is>
      </c>
      <c r="G94" t="inlineStr">
        <is>
          <t>MUNKEDAL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46307</v>
      </c>
      <c r="F95" t="inlineStr">
        <is>
          <t>VÄSTRA GÖTALANDS LÄN</t>
        </is>
      </c>
      <c r="G95" t="inlineStr">
        <is>
          <t>MUNKEDAL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44920</v>
      </c>
      <c r="E96" s="1" t="n">
        <v>46307</v>
      </c>
      <c r="F96" t="inlineStr">
        <is>
          <t>VÄSTRA GÖTALANDS LÄN</t>
        </is>
      </c>
      <c r="G96" t="inlineStr">
        <is>
          <t>MUNKEDAL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44920</v>
      </c>
      <c r="E97" s="1" t="n">
        <v>46307</v>
      </c>
      <c r="F97" t="inlineStr">
        <is>
          <t>VÄSTRA GÖTALANDS LÄN</t>
        </is>
      </c>
      <c r="G97" t="inlineStr">
        <is>
          <t>MUNKEDAL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46307</v>
      </c>
      <c r="F98" t="inlineStr">
        <is>
          <t>VÄSTRA GÖTALANDS LÄN</t>
        </is>
      </c>
      <c r="G98" t="inlineStr">
        <is>
          <t>MUNKEDAL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46307</v>
      </c>
      <c r="F99" t="inlineStr">
        <is>
          <t>VÄSTRA GÖTALANDS LÄN</t>
        </is>
      </c>
      <c r="G99" t="inlineStr">
        <is>
          <t>MUNKEDAL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46307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46307</v>
      </c>
      <c r="F101" t="inlineStr">
        <is>
          <t>VÄSTRA GÖTALANDS LÄN</t>
        </is>
      </c>
      <c r="G101" t="inlineStr">
        <is>
          <t>MUNKEDAL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46307</v>
      </c>
      <c r="F102" t="inlineStr">
        <is>
          <t>VÄSTRA GÖTALANDS LÄN</t>
        </is>
      </c>
      <c r="G102" t="inlineStr">
        <is>
          <t>MUNKEDAL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45488</v>
      </c>
      <c r="E103" s="1" t="n">
        <v>46307</v>
      </c>
      <c r="F103" t="inlineStr">
        <is>
          <t>VÄSTRA GÖTALANDS LÄN</t>
        </is>
      </c>
      <c r="G103" t="inlineStr">
        <is>
          <t>MUNKEDAL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46307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46307</v>
      </c>
      <c r="F105" t="inlineStr">
        <is>
          <t>VÄSTRA GÖTALANDS LÄN</t>
        </is>
      </c>
      <c r="G105" t="inlineStr">
        <is>
          <t>MUNKEDAL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45306</v>
      </c>
      <c r="E106" s="1" t="n">
        <v>46307</v>
      </c>
      <c r="F106" t="inlineStr">
        <is>
          <t>VÄSTRA GÖTALANDS LÄN</t>
        </is>
      </c>
      <c r="G106" t="inlineStr">
        <is>
          <t>MUNKEDAL</t>
        </is>
      </c>
      <c r="I106" t="n">
        <v>25.2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46307</v>
      </c>
      <c r="F107" t="inlineStr">
        <is>
          <t>VÄSTRA GÖTALANDS LÄN</t>
        </is>
      </c>
      <c r="G107" t="inlineStr">
        <is>
          <t>MUNKEDAL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45684</v>
      </c>
      <c r="E108" s="1" t="n">
        <v>46307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Kommuner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58251-2024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46307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46307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Kyrkan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46307</v>
      </c>
      <c r="F111" t="inlineStr">
        <is>
          <t>VÄSTRA GÖTALANDS LÄN</t>
        </is>
      </c>
      <c r="G111" t="inlineStr">
        <is>
          <t>MUNKEDAL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45378</v>
      </c>
      <c r="E112" s="1" t="n">
        <v>46307</v>
      </c>
      <c r="F112" t="inlineStr">
        <is>
          <t>VÄSTRA GÖTALANDS LÄN</t>
        </is>
      </c>
      <c r="G112" t="inlineStr">
        <is>
          <t>MUNKEDAL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46307</v>
      </c>
      <c r="F113" t="inlineStr">
        <is>
          <t>VÄSTRA GÖTALANDS LÄN</t>
        </is>
      </c>
      <c r="G113" t="inlineStr">
        <is>
          <t>MUNKEDAL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45532</v>
      </c>
      <c r="E114" s="1" t="n">
        <v>46307</v>
      </c>
      <c r="F114" t="inlineStr">
        <is>
          <t>VÄSTRA GÖTALANDS LÄN</t>
        </is>
      </c>
      <c r="G114" t="inlineStr">
        <is>
          <t>MUNKEDAL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46307</v>
      </c>
      <c r="F115" t="inlineStr">
        <is>
          <t>VÄSTRA GÖTALANDS LÄN</t>
        </is>
      </c>
      <c r="G115" t="inlineStr">
        <is>
          <t>MUNKEDAL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46307</v>
      </c>
      <c r="F116" t="inlineStr">
        <is>
          <t>VÄSTRA GÖTALANDS LÄN</t>
        </is>
      </c>
      <c r="G116" t="inlineStr">
        <is>
          <t>MUNKEDAL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46307</v>
      </c>
      <c r="F117" t="inlineStr">
        <is>
          <t>VÄSTRA GÖTALANDS LÄN</t>
        </is>
      </c>
      <c r="G117" t="inlineStr">
        <is>
          <t>MUNKEDAL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46307</v>
      </c>
      <c r="F118" t="inlineStr">
        <is>
          <t>VÄSTRA GÖTALANDS LÄN</t>
        </is>
      </c>
      <c r="G118" t="inlineStr">
        <is>
          <t>MUNKEDAL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46307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56789-2021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44481</v>
      </c>
      <c r="E120" s="1" t="n">
        <v>46307</v>
      </c>
      <c r="F120" t="inlineStr">
        <is>
          <t>VÄSTRA GÖTALANDS LÄN</t>
        </is>
      </c>
      <c r="G120" t="inlineStr">
        <is>
          <t>MUNKEDAL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46307</v>
      </c>
      <c r="F121" t="inlineStr">
        <is>
          <t>VÄSTRA GÖTALANDS LÄN</t>
        </is>
      </c>
      <c r="G121" t="inlineStr">
        <is>
          <t>MUNKEDAL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45148</v>
      </c>
      <c r="E122" s="1" t="n">
        <v>46307</v>
      </c>
      <c r="F122" t="inlineStr">
        <is>
          <t>VÄSTRA GÖTALANDS LÄN</t>
        </is>
      </c>
      <c r="G122" t="inlineStr">
        <is>
          <t>MUNKEDAL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21063-2025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45777</v>
      </c>
      <c r="E123" s="1" t="n">
        <v>46307</v>
      </c>
      <c r="F123" t="inlineStr">
        <is>
          <t>VÄSTRA GÖTALANDS LÄN</t>
        </is>
      </c>
      <c r="G123" t="inlineStr">
        <is>
          <t>MUNKEDAL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46307</v>
      </c>
      <c r="F124" t="inlineStr">
        <is>
          <t>VÄSTRA GÖTALANDS LÄN</t>
        </is>
      </c>
      <c r="G124" t="inlineStr">
        <is>
          <t>MUNKEDAL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46307</v>
      </c>
      <c r="F125" t="inlineStr">
        <is>
          <t>VÄSTRA GÖTALANDS LÄN</t>
        </is>
      </c>
      <c r="G125" t="inlineStr">
        <is>
          <t>MUNKEDAL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46307</v>
      </c>
      <c r="F126" t="inlineStr">
        <is>
          <t>VÄSTRA GÖTALANDS LÄN</t>
        </is>
      </c>
      <c r="G126" t="inlineStr">
        <is>
          <t>MUNKEDAL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45778</v>
      </c>
      <c r="E127" s="1" t="n">
        <v>46307</v>
      </c>
      <c r="F127" t="inlineStr">
        <is>
          <t>VÄSTRA GÖTALANDS LÄN</t>
        </is>
      </c>
      <c r="G127" t="inlineStr">
        <is>
          <t>MUNKEDAL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46307</v>
      </c>
      <c r="F128" t="inlineStr">
        <is>
          <t>VÄSTRA GÖTALANDS LÄN</t>
        </is>
      </c>
      <c r="G128" t="inlineStr">
        <is>
          <t>MUNKEDAL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46307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21086-2025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45777</v>
      </c>
      <c r="E130" s="1" t="n">
        <v>46307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46307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46307</v>
      </c>
      <c r="F132" t="inlineStr">
        <is>
          <t>VÄSTRA GÖTALANDS LÄN</t>
        </is>
      </c>
      <c r="G132" t="inlineStr">
        <is>
          <t>MUNKEDAL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45784</v>
      </c>
      <c r="E133" s="1" t="n">
        <v>46307</v>
      </c>
      <c r="F133" t="inlineStr">
        <is>
          <t>VÄSTRA GÖTALANDS LÄN</t>
        </is>
      </c>
      <c r="G133" t="inlineStr">
        <is>
          <t>MUNKEDAL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45784</v>
      </c>
      <c r="E134" s="1" t="n">
        <v>46307</v>
      </c>
      <c r="F134" t="inlineStr">
        <is>
          <t>VÄSTRA GÖTALANDS LÄN</t>
        </is>
      </c>
      <c r="G134" t="inlineStr">
        <is>
          <t>MUNKEDAL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46307</v>
      </c>
      <c r="F135" t="inlineStr">
        <is>
          <t>VÄSTRA GÖTALANDS LÄN</t>
        </is>
      </c>
      <c r="G135" t="inlineStr">
        <is>
          <t>MUNKEDAL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46307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44960</v>
      </c>
      <c r="E137" s="1" t="n">
        <v>46307</v>
      </c>
      <c r="F137" t="inlineStr">
        <is>
          <t>VÄSTRA GÖTALANDS LÄN</t>
        </is>
      </c>
      <c r="G137" t="inlineStr">
        <is>
          <t>MUNKEDAL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46307</v>
      </c>
      <c r="F138" t="inlineStr">
        <is>
          <t>VÄSTRA GÖTALANDS LÄN</t>
        </is>
      </c>
      <c r="G138" t="inlineStr">
        <is>
          <t>MUNKEDAL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45618</v>
      </c>
      <c r="E139" s="1" t="n">
        <v>46307</v>
      </c>
      <c r="F139" t="inlineStr">
        <is>
          <t>VÄSTRA GÖTALANDS LÄN</t>
        </is>
      </c>
      <c r="G139" t="inlineStr">
        <is>
          <t>MUNKEDAL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45921</v>
      </c>
      <c r="E140" s="1" t="n">
        <v>46307</v>
      </c>
      <c r="F140" t="inlineStr">
        <is>
          <t>VÄSTRA GÖTALANDS LÄN</t>
        </is>
      </c>
      <c r="G140" t="inlineStr">
        <is>
          <t>MUNKEDAL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46307</v>
      </c>
      <c r="F141" t="inlineStr">
        <is>
          <t>VÄSTRA GÖTALANDS LÄN</t>
        </is>
      </c>
      <c r="G141" t="inlineStr">
        <is>
          <t>MUNKEDAL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58066-2021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46307</v>
      </c>
      <c r="F142" t="inlineStr">
        <is>
          <t>VÄSTRA GÖTALANDS LÄN</t>
        </is>
      </c>
      <c r="G142" t="inlineStr">
        <is>
          <t>MUNKEDAL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45522</v>
      </c>
      <c r="E143" s="1" t="n">
        <v>46307</v>
      </c>
      <c r="F143" t="inlineStr">
        <is>
          <t>VÄSTRA GÖTALANDS LÄN</t>
        </is>
      </c>
      <c r="G143" t="inlineStr">
        <is>
          <t>MUNKEDAL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46307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45640</v>
      </c>
      <c r="E145" s="1" t="n">
        <v>46307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46307</v>
      </c>
      <c r="F146" t="inlineStr">
        <is>
          <t>VÄSTRA GÖTALANDS LÄN</t>
        </is>
      </c>
      <c r="G146" t="inlineStr">
        <is>
          <t>MUNKEDAL</t>
        </is>
      </c>
      <c r="I146" t="n">
        <v>13.8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46307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29707-2022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44755</v>
      </c>
      <c r="E148" s="1" t="n">
        <v>46307</v>
      </c>
      <c r="F148" t="inlineStr">
        <is>
          <t>VÄSTRA GÖTALANDS LÄN</t>
        </is>
      </c>
      <c r="G148" t="inlineStr">
        <is>
          <t>MUNKEDAL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46307</v>
      </c>
      <c r="F149" t="inlineStr">
        <is>
          <t>VÄSTRA GÖTALANDS LÄN</t>
        </is>
      </c>
      <c r="G149" t="inlineStr">
        <is>
          <t>MUNKEDAL</t>
        </is>
      </c>
      <c r="I149" t="n">
        <v>12.7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45575</v>
      </c>
      <c r="E150" s="1" t="n">
        <v>46307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Naturvårdsverket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46307</v>
      </c>
      <c r="F151" t="inlineStr">
        <is>
          <t>VÄSTRA GÖTALANDS LÄN</t>
        </is>
      </c>
      <c r="G151" t="inlineStr">
        <is>
          <t>MUNKEDAL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45029</v>
      </c>
      <c r="E152" s="1" t="n">
        <v>46307</v>
      </c>
      <c r="F152" t="inlineStr">
        <is>
          <t>VÄSTRA GÖTALANDS LÄN</t>
        </is>
      </c>
      <c r="G152" t="inlineStr">
        <is>
          <t>MUNKEDAL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46307</v>
      </c>
      <c r="F153" t="inlineStr">
        <is>
          <t>VÄSTRA GÖTALANDS LÄN</t>
        </is>
      </c>
      <c r="G153" t="inlineStr">
        <is>
          <t>MUNKEDAL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46307</v>
      </c>
      <c r="F154" t="inlineStr">
        <is>
          <t>VÄSTRA GÖTALANDS LÄN</t>
        </is>
      </c>
      <c r="G154" t="inlineStr">
        <is>
          <t>MUNKEDAL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46307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26.5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45792</v>
      </c>
      <c r="E156" s="1" t="n">
        <v>46307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46307</v>
      </c>
      <c r="F157" t="inlineStr">
        <is>
          <t>VÄSTRA GÖTALANDS LÄN</t>
        </is>
      </c>
      <c r="G157" t="inlineStr">
        <is>
          <t>MUNKEDAL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45696</v>
      </c>
      <c r="E158" s="1" t="n">
        <v>46307</v>
      </c>
      <c r="F158" t="inlineStr">
        <is>
          <t>VÄSTRA GÖTALANDS LÄN</t>
        </is>
      </c>
      <c r="G158" t="inlineStr">
        <is>
          <t>MUNKEDAL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46307</v>
      </c>
      <c r="F159" t="inlineStr">
        <is>
          <t>VÄSTRA GÖTALANDS LÄN</t>
        </is>
      </c>
      <c r="G159" t="inlineStr">
        <is>
          <t>MUNKEDAL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45596</v>
      </c>
      <c r="E160" s="1" t="n">
        <v>46307</v>
      </c>
      <c r="F160" t="inlineStr">
        <is>
          <t>VÄSTRA GÖTALANDS LÄN</t>
        </is>
      </c>
      <c r="G160" t="inlineStr">
        <is>
          <t>MUNKEDAL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46307</v>
      </c>
      <c r="F161" t="inlineStr">
        <is>
          <t>VÄSTRA GÖTALANDS LÄN</t>
        </is>
      </c>
      <c r="G161" t="inlineStr">
        <is>
          <t>MUNKEDAL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46307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46307</v>
      </c>
      <c r="F163" t="inlineStr">
        <is>
          <t>VÄSTRA GÖTALANDS LÄN</t>
        </is>
      </c>
      <c r="G163" t="inlineStr">
        <is>
          <t>MUNKEDAL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46307</v>
      </c>
      <c r="F164" t="inlineStr">
        <is>
          <t>VÄSTRA GÖTALANDS LÄN</t>
        </is>
      </c>
      <c r="G164" t="inlineStr">
        <is>
          <t>MUNKEDAL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46307</v>
      </c>
      <c r="F165" t="inlineStr">
        <is>
          <t>VÄSTRA GÖTALANDS LÄN</t>
        </is>
      </c>
      <c r="G165" t="inlineStr">
        <is>
          <t>MUNKEDAL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46307</v>
      </c>
      <c r="F166" t="inlineStr">
        <is>
          <t>VÄSTRA GÖTALANDS LÄN</t>
        </is>
      </c>
      <c r="G166" t="inlineStr">
        <is>
          <t>MUNKEDAL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46307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46307</v>
      </c>
      <c r="F168" t="inlineStr">
        <is>
          <t>VÄSTRA GÖTALANDS LÄN</t>
        </is>
      </c>
      <c r="G168" t="inlineStr">
        <is>
          <t>MUNKEDAL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46307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46307</v>
      </c>
      <c r="F170" t="inlineStr">
        <is>
          <t>VÄSTRA GÖTALANDS LÄN</t>
        </is>
      </c>
      <c r="G170" t="inlineStr">
        <is>
          <t>MUNKEDAL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46307</v>
      </c>
      <c r="F171" t="inlineStr">
        <is>
          <t>VÄSTRA GÖTALANDS LÄN</t>
        </is>
      </c>
      <c r="G171" t="inlineStr">
        <is>
          <t>MUNKEDAL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46307</v>
      </c>
      <c r="F172" t="inlineStr">
        <is>
          <t>VÄSTRA GÖTALANDS LÄN</t>
        </is>
      </c>
      <c r="G172" t="inlineStr">
        <is>
          <t>MUNKEDAL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46307</v>
      </c>
      <c r="F173" t="inlineStr">
        <is>
          <t>VÄSTRA GÖTALANDS LÄN</t>
        </is>
      </c>
      <c r="G173" t="inlineStr">
        <is>
          <t>MUNKEDAL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46307</v>
      </c>
      <c r="F174" t="inlineStr">
        <is>
          <t>VÄSTRA GÖTALANDS LÄN</t>
        </is>
      </c>
      <c r="G174" t="inlineStr">
        <is>
          <t>MUNKEDAL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46307</v>
      </c>
      <c r="F175" t="inlineStr">
        <is>
          <t>VÄSTRA GÖTALANDS LÄN</t>
        </is>
      </c>
      <c r="G175" t="inlineStr">
        <is>
          <t>MUNKEDAL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46307</v>
      </c>
      <c r="F176" t="inlineStr">
        <is>
          <t>VÄSTRA GÖTALANDS LÄN</t>
        </is>
      </c>
      <c r="G176" t="inlineStr">
        <is>
          <t>MUNKEDAL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46307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46307</v>
      </c>
      <c r="F178" t="inlineStr">
        <is>
          <t>VÄSTRA GÖTALANDS LÄN</t>
        </is>
      </c>
      <c r="G178" t="inlineStr">
        <is>
          <t>MUNKEDAL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46307</v>
      </c>
      <c r="F179" t="inlineStr">
        <is>
          <t>VÄSTRA GÖTALANDS LÄN</t>
        </is>
      </c>
      <c r="G179" t="inlineStr">
        <is>
          <t>MUNKEDAL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45630</v>
      </c>
      <c r="E180" s="1" t="n">
        <v>46307</v>
      </c>
      <c r="F180" t="inlineStr">
        <is>
          <t>VÄSTRA GÖTALANDS LÄN</t>
        </is>
      </c>
      <c r="G180" t="inlineStr">
        <is>
          <t>MUNKEDAL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46307</v>
      </c>
      <c r="F181" t="inlineStr">
        <is>
          <t>VÄSTRA GÖTALANDS LÄN</t>
        </is>
      </c>
      <c r="G181" t="inlineStr">
        <is>
          <t>MUNKEDAL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46307</v>
      </c>
      <c r="F182" t="inlineStr">
        <is>
          <t>VÄSTRA GÖTALANDS LÄN</t>
        </is>
      </c>
      <c r="G182" t="inlineStr">
        <is>
          <t>MUNKEDAL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44672</v>
      </c>
      <c r="E183" s="1" t="n">
        <v>46307</v>
      </c>
      <c r="F183" t="inlineStr">
        <is>
          <t>VÄSTRA GÖTALANDS LÄN</t>
        </is>
      </c>
      <c r="G183" t="inlineStr">
        <is>
          <t>MUNKEDAL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46307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46307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46307</v>
      </c>
      <c r="F186" t="inlineStr">
        <is>
          <t>VÄSTRA GÖTALANDS LÄN</t>
        </is>
      </c>
      <c r="G186" t="inlineStr">
        <is>
          <t>MUNKEDAL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44904</v>
      </c>
      <c r="E187" s="1" t="n">
        <v>46307</v>
      </c>
      <c r="F187" t="inlineStr">
        <is>
          <t>VÄSTRA GÖTALANDS LÄN</t>
        </is>
      </c>
      <c r="G187" t="inlineStr">
        <is>
          <t>MUNKEDAL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46307</v>
      </c>
      <c r="F188" t="inlineStr">
        <is>
          <t>VÄSTRA GÖTALANDS LÄN</t>
        </is>
      </c>
      <c r="G188" t="inlineStr">
        <is>
          <t>MUNKEDAL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45229</v>
      </c>
      <c r="E189" s="1" t="n">
        <v>46307</v>
      </c>
      <c r="F189" t="inlineStr">
        <is>
          <t>VÄSTRA GÖTALANDS LÄN</t>
        </is>
      </c>
      <c r="G189" t="inlineStr">
        <is>
          <t>MUNKEDAL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45325</v>
      </c>
      <c r="E190" s="1" t="n">
        <v>46307</v>
      </c>
      <c r="F190" t="inlineStr">
        <is>
          <t>VÄSTRA GÖTALANDS LÄN</t>
        </is>
      </c>
      <c r="G190" t="inlineStr">
        <is>
          <t>MUNKEDAL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46307</v>
      </c>
      <c r="F191" t="inlineStr">
        <is>
          <t>VÄSTRA GÖTALANDS LÄN</t>
        </is>
      </c>
      <c r="G191" t="inlineStr">
        <is>
          <t>MUNKEDAL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45233</v>
      </c>
      <c r="E192" s="1" t="n">
        <v>46307</v>
      </c>
      <c r="F192" t="inlineStr">
        <is>
          <t>VÄSTRA GÖTALANDS LÄN</t>
        </is>
      </c>
      <c r="G192" t="inlineStr">
        <is>
          <t>MUNKEDAL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45736</v>
      </c>
      <c r="E193" s="1" t="n">
        <v>46307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46307</v>
      </c>
      <c r="F194" t="inlineStr">
        <is>
          <t>VÄSTRA GÖTALANDS LÄN</t>
        </is>
      </c>
      <c r="G194" t="inlineStr">
        <is>
          <t>MUNKEDAL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46307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Kyrkan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45557</v>
      </c>
      <c r="E196" s="1" t="n">
        <v>46307</v>
      </c>
      <c r="F196" t="inlineStr">
        <is>
          <t>VÄSTRA GÖTALANDS LÄN</t>
        </is>
      </c>
      <c r="G196" t="inlineStr">
        <is>
          <t>MUNKEDAL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45939</v>
      </c>
      <c r="E197" s="1" t="n">
        <v>46307</v>
      </c>
      <c r="F197" t="inlineStr">
        <is>
          <t>VÄSTRA GÖTALANDS LÄN</t>
        </is>
      </c>
      <c r="G197" t="inlineStr">
        <is>
          <t>MUNKEDAL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49912-2023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45214</v>
      </c>
      <c r="E198" s="1" t="n">
        <v>46307</v>
      </c>
      <c r="F198" t="inlineStr">
        <is>
          <t>VÄSTRA GÖTALANDS LÄN</t>
        </is>
      </c>
      <c r="G198" t="inlineStr">
        <is>
          <t>MUNKEDAL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46307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Kyrkan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46307</v>
      </c>
      <c r="F200" t="inlineStr">
        <is>
          <t>VÄSTRA GÖTALANDS LÄN</t>
        </is>
      </c>
      <c r="G200" t="inlineStr">
        <is>
          <t>MUNKEDAL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45138</v>
      </c>
      <c r="E201" s="1" t="n">
        <v>46307</v>
      </c>
      <c r="F201" t="inlineStr">
        <is>
          <t>VÄSTRA GÖTALANDS LÄN</t>
        </is>
      </c>
      <c r="G201" t="inlineStr">
        <is>
          <t>MUNKEDAL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18278-2025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45762</v>
      </c>
      <c r="E202" s="1" t="n">
        <v>46307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46307</v>
      </c>
      <c r="F203" t="inlineStr">
        <is>
          <t>VÄSTRA GÖTALANDS LÄN</t>
        </is>
      </c>
      <c r="G203" t="inlineStr">
        <is>
          <t>MUNKEDAL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46307</v>
      </c>
      <c r="F204" t="inlineStr">
        <is>
          <t>VÄSTRA GÖTALANDS LÄN</t>
        </is>
      </c>
      <c r="G204" t="inlineStr">
        <is>
          <t>MUNKEDAL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46307</v>
      </c>
      <c r="F205" t="inlineStr">
        <is>
          <t>VÄSTRA GÖTALANDS LÄN</t>
        </is>
      </c>
      <c r="G205" t="inlineStr">
        <is>
          <t>MUNKEDAL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44929</v>
      </c>
      <c r="E206" s="1" t="n">
        <v>46307</v>
      </c>
      <c r="F206" t="inlineStr">
        <is>
          <t>VÄSTRA GÖTALANDS LÄN</t>
        </is>
      </c>
      <c r="G206" t="inlineStr">
        <is>
          <t>MUNKEDAL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46307</v>
      </c>
      <c r="F207" t="inlineStr">
        <is>
          <t>VÄSTRA GÖTALANDS LÄN</t>
        </is>
      </c>
      <c r="G207" t="inlineStr">
        <is>
          <t>MUNKEDAL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46307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45640</v>
      </c>
      <c r="E209" s="1" t="n">
        <v>46307</v>
      </c>
      <c r="F209" t="inlineStr">
        <is>
          <t>VÄSTRA GÖTALANDS LÄN</t>
        </is>
      </c>
      <c r="G209" t="inlineStr">
        <is>
          <t>MUNKEDAL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46307</v>
      </c>
      <c r="F210" t="inlineStr">
        <is>
          <t>VÄSTRA GÖTALANDS LÄN</t>
        </is>
      </c>
      <c r="G210" t="inlineStr">
        <is>
          <t>MUNKEDAL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59257-2024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46307</v>
      </c>
      <c r="F211" t="inlineStr">
        <is>
          <t>VÄSTRA GÖTALANDS LÄN</t>
        </is>
      </c>
      <c r="G211" t="inlineStr">
        <is>
          <t>MUNKEDAL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46307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46307</v>
      </c>
      <c r="F213" t="inlineStr">
        <is>
          <t>VÄSTRA GÖTALANDS LÄN</t>
        </is>
      </c>
      <c r="G213" t="inlineStr">
        <is>
          <t>MUNKEDAL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46307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46307</v>
      </c>
      <c r="F215" t="inlineStr">
        <is>
          <t>VÄSTRA GÖTALANDS LÄN</t>
        </is>
      </c>
      <c r="G215" t="inlineStr">
        <is>
          <t>MUNKEDAL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46307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Kommuner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45640</v>
      </c>
      <c r="E217" s="1" t="n">
        <v>46307</v>
      </c>
      <c r="F217" t="inlineStr">
        <is>
          <t>VÄSTRA GÖTALANDS LÄN</t>
        </is>
      </c>
      <c r="G217" t="inlineStr">
        <is>
          <t>MUNKEDAL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45640</v>
      </c>
      <c r="E218" s="1" t="n">
        <v>46307</v>
      </c>
      <c r="F218" t="inlineStr">
        <is>
          <t>VÄSTRA GÖTALANDS LÄN</t>
        </is>
      </c>
      <c r="G218" t="inlineStr">
        <is>
          <t>MUNKEDAL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44608</v>
      </c>
      <c r="E219" s="1" t="n">
        <v>46307</v>
      </c>
      <c r="F219" t="inlineStr">
        <is>
          <t>VÄSTRA GÖTALANDS LÄN</t>
        </is>
      </c>
      <c r="G219" t="inlineStr">
        <is>
          <t>MUNKEDAL</t>
        </is>
      </c>
      <c r="I219" t="n">
        <v>15.4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46307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46307</v>
      </c>
      <c r="F221" t="inlineStr">
        <is>
          <t>VÄSTRA GÖTALANDS LÄN</t>
        </is>
      </c>
      <c r="G221" t="inlineStr">
        <is>
          <t>MUNKEDAL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46307</v>
      </c>
      <c r="F222" t="inlineStr">
        <is>
          <t>VÄSTRA GÖTALANDS LÄN</t>
        </is>
      </c>
      <c r="G222" t="inlineStr">
        <is>
          <t>MUNKEDAL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46307</v>
      </c>
      <c r="F223" t="inlineStr">
        <is>
          <t>VÄSTRA GÖTALANDS LÄN</t>
        </is>
      </c>
      <c r="G223" t="inlineStr">
        <is>
          <t>MUNKEDAL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45582</v>
      </c>
      <c r="E224" s="1" t="n">
        <v>46307</v>
      </c>
      <c r="F224" t="inlineStr">
        <is>
          <t>VÄSTRA GÖTALANDS LÄN</t>
        </is>
      </c>
      <c r="G224" t="inlineStr">
        <is>
          <t>MUNKEDAL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46307</v>
      </c>
      <c r="F225" t="inlineStr">
        <is>
          <t>VÄSTRA GÖTALANDS LÄN</t>
        </is>
      </c>
      <c r="G225" t="inlineStr">
        <is>
          <t>MUNKEDAL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46307</v>
      </c>
      <c r="F226" t="inlineStr">
        <is>
          <t>VÄSTRA GÖTALANDS LÄN</t>
        </is>
      </c>
      <c r="G226" t="inlineStr">
        <is>
          <t>MUNKEDAL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45337</v>
      </c>
      <c r="E227" s="1" t="n">
        <v>46307</v>
      </c>
      <c r="F227" t="inlineStr">
        <is>
          <t>VÄSTRA GÖTALANDS LÄN</t>
        </is>
      </c>
      <c r="G227" t="inlineStr">
        <is>
          <t>MUNKEDAL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44715</v>
      </c>
      <c r="E228" s="1" t="n">
        <v>46307</v>
      </c>
      <c r="F228" t="inlineStr">
        <is>
          <t>VÄSTRA GÖTALANDS LÄN</t>
        </is>
      </c>
      <c r="G228" t="inlineStr">
        <is>
          <t>MUNKEDAL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28667-2022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44748</v>
      </c>
      <c r="E229" s="1" t="n">
        <v>46307</v>
      </c>
      <c r="F229" t="inlineStr">
        <is>
          <t>VÄSTRA GÖTALANDS LÄN</t>
        </is>
      </c>
      <c r="G229" t="inlineStr">
        <is>
          <t>MUNKEDAL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46307</v>
      </c>
      <c r="F230" t="inlineStr">
        <is>
          <t>VÄSTRA GÖTALANDS LÄN</t>
        </is>
      </c>
      <c r="G230" t="inlineStr">
        <is>
          <t>MUNKEDAL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45293</v>
      </c>
      <c r="E231" s="1" t="n">
        <v>46307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34624-2025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46307</v>
      </c>
      <c r="F232" t="inlineStr">
        <is>
          <t>VÄSTRA GÖTALANDS LÄN</t>
        </is>
      </c>
      <c r="G232" t="inlineStr">
        <is>
          <t>MUNKEDAL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46307</v>
      </c>
      <c r="F233" t="inlineStr">
        <is>
          <t>VÄSTRA GÖTALANDS LÄN</t>
        </is>
      </c>
      <c r="G233" t="inlineStr">
        <is>
          <t>MUNKEDAL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44760</v>
      </c>
      <c r="E234" s="1" t="n">
        <v>46307</v>
      </c>
      <c r="F234" t="inlineStr">
        <is>
          <t>VÄSTRA GÖTALANDS LÄN</t>
        </is>
      </c>
      <c r="G234" t="inlineStr">
        <is>
          <t>MUNKEDAL</t>
        </is>
      </c>
      <c r="I234" t="n">
        <v>8.300000000000001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45160</v>
      </c>
      <c r="E235" s="1" t="n">
        <v>46307</v>
      </c>
      <c r="F235" t="inlineStr">
        <is>
          <t>VÄSTRA GÖTALANDS LÄN</t>
        </is>
      </c>
      <c r="G235" t="inlineStr">
        <is>
          <t>MUNKEDAL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45127</v>
      </c>
      <c r="E236" s="1" t="n">
        <v>46307</v>
      </c>
      <c r="F236" t="inlineStr">
        <is>
          <t>VÄSTRA GÖTALANDS LÄN</t>
        </is>
      </c>
      <c r="G236" t="inlineStr">
        <is>
          <t>MUNKEDAL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44806</v>
      </c>
      <c r="E237" s="1" t="n">
        <v>46307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25.2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46307</v>
      </c>
      <c r="F238" t="inlineStr">
        <is>
          <t>VÄSTRA GÖTALANDS LÄN</t>
        </is>
      </c>
      <c r="G238" t="inlineStr">
        <is>
          <t>MUNKEDAL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13303-2023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45005</v>
      </c>
      <c r="E239" s="1" t="n">
        <v>46307</v>
      </c>
      <c r="F239" t="inlineStr">
        <is>
          <t>VÄSTRA GÖTALANDS LÄN</t>
        </is>
      </c>
      <c r="G239" t="inlineStr">
        <is>
          <t>MUNKEDAL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46307</v>
      </c>
      <c r="F240" t="inlineStr">
        <is>
          <t>VÄSTRA GÖTALANDS LÄN</t>
        </is>
      </c>
      <c r="G240" t="inlineStr">
        <is>
          <t>MUNKEDAL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46307</v>
      </c>
      <c r="F241" t="inlineStr">
        <is>
          <t>VÄSTRA GÖTALANDS LÄN</t>
        </is>
      </c>
      <c r="G241" t="inlineStr">
        <is>
          <t>MUNKEDAL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45755</v>
      </c>
      <c r="E242" s="1" t="n">
        <v>46307</v>
      </c>
      <c r="F242" t="inlineStr">
        <is>
          <t>VÄSTRA GÖTALANDS LÄN</t>
        </is>
      </c>
      <c r="G242" t="inlineStr">
        <is>
          <t>MUNKEDAL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21125-2022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44704</v>
      </c>
      <c r="E243" s="1" t="n">
        <v>46307</v>
      </c>
      <c r="F243" t="inlineStr">
        <is>
          <t>VÄSTRA GÖTALANDS LÄN</t>
        </is>
      </c>
      <c r="G243" t="inlineStr">
        <is>
          <t>MUNKEDAL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45293</v>
      </c>
      <c r="E244" s="1" t="n">
        <v>46307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45296</v>
      </c>
      <c r="E245" s="1" t="n">
        <v>46307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45488</v>
      </c>
      <c r="E246" s="1" t="n">
        <v>46307</v>
      </c>
      <c r="F246" t="inlineStr">
        <is>
          <t>VÄSTRA GÖTALANDS LÄN</t>
        </is>
      </c>
      <c r="G246" t="inlineStr">
        <is>
          <t>MUNKEDAL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45489</v>
      </c>
      <c r="E247" s="1" t="n">
        <v>46307</v>
      </c>
      <c r="F247" t="inlineStr">
        <is>
          <t>VÄSTRA GÖTALANDS LÄN</t>
        </is>
      </c>
      <c r="G247" t="inlineStr">
        <is>
          <t>MUNKEDAL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45261</v>
      </c>
      <c r="E248" s="1" t="n">
        <v>46307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44866</v>
      </c>
      <c r="E249" s="1" t="n">
        <v>46307</v>
      </c>
      <c r="F249" t="inlineStr">
        <is>
          <t>VÄSTRA GÖTALANDS LÄN</t>
        </is>
      </c>
      <c r="G249" t="inlineStr">
        <is>
          <t>MUNKEDAL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45351</v>
      </c>
      <c r="E250" s="1" t="n">
        <v>46307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45678</v>
      </c>
      <c r="E251" s="1" t="n">
        <v>46307</v>
      </c>
      <c r="F251" t="inlineStr">
        <is>
          <t>VÄSTRA GÖTALANDS LÄN</t>
        </is>
      </c>
      <c r="G251" t="inlineStr">
        <is>
          <t>MUNKEDAL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46307</v>
      </c>
      <c r="F252" t="inlineStr">
        <is>
          <t>VÄSTRA GÖTALANDS LÄN</t>
        </is>
      </c>
      <c r="G252" t="inlineStr">
        <is>
          <t>MUNKEDAL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46307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46307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46307</v>
      </c>
      <c r="F255" t="inlineStr">
        <is>
          <t>VÄSTRA GÖTALANDS LÄN</t>
        </is>
      </c>
      <c r="G255" t="inlineStr">
        <is>
          <t>MUNKEDAL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46307</v>
      </c>
      <c r="F256" t="inlineStr">
        <is>
          <t>VÄSTRA GÖTALANDS LÄN</t>
        </is>
      </c>
      <c r="G256" t="inlineStr">
        <is>
          <t>MUNKEDAL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45709</v>
      </c>
      <c r="E257" s="1" t="n">
        <v>46307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46307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46307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45881</v>
      </c>
      <c r="E260" s="1" t="n">
        <v>46307</v>
      </c>
      <c r="F260" t="inlineStr">
        <is>
          <t>VÄSTRA GÖTALANDS LÄN</t>
        </is>
      </c>
      <c r="G260" t="inlineStr">
        <is>
          <t>MUNKEDAL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46307</v>
      </c>
      <c r="F261" t="inlineStr">
        <is>
          <t>VÄSTRA GÖTALANDS LÄN</t>
        </is>
      </c>
      <c r="G261" t="inlineStr">
        <is>
          <t>MUNKEDAL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45619</v>
      </c>
      <c r="E262" s="1" t="n">
        <v>46307</v>
      </c>
      <c r="F262" t="inlineStr">
        <is>
          <t>VÄSTRA GÖTALANDS LÄN</t>
        </is>
      </c>
      <c r="G262" t="inlineStr">
        <is>
          <t>MUNKEDAL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46307</v>
      </c>
      <c r="F263" t="inlineStr">
        <is>
          <t>VÄSTRA GÖTALANDS LÄN</t>
        </is>
      </c>
      <c r="G263" t="inlineStr">
        <is>
          <t>MUNKEDAL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46307</v>
      </c>
      <c r="F264" t="inlineStr">
        <is>
          <t>VÄSTRA GÖTALANDS LÄN</t>
        </is>
      </c>
      <c r="G264" t="inlineStr">
        <is>
          <t>MUNKEDAL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45231</v>
      </c>
      <c r="E265" s="1" t="n">
        <v>46307</v>
      </c>
      <c r="F265" t="inlineStr">
        <is>
          <t>VÄSTRA GÖTALANDS LÄN</t>
        </is>
      </c>
      <c r="G265" t="inlineStr">
        <is>
          <t>MUNKEDAL</t>
        </is>
      </c>
      <c r="I265" t="n">
        <v>8.699999999999999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45188</v>
      </c>
      <c r="E266" s="1" t="n">
        <v>46307</v>
      </c>
      <c r="F266" t="inlineStr">
        <is>
          <t>VÄSTRA GÖTALANDS LÄN</t>
        </is>
      </c>
      <c r="G266" t="inlineStr">
        <is>
          <t>MUNKEDAL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46307</v>
      </c>
      <c r="F267" t="inlineStr">
        <is>
          <t>VÄSTRA GÖTALANDS LÄN</t>
        </is>
      </c>
      <c r="G267" t="inlineStr">
        <is>
          <t>MUNKEDAL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45175</v>
      </c>
      <c r="E268" s="1" t="n">
        <v>46307</v>
      </c>
      <c r="F268" t="inlineStr">
        <is>
          <t>VÄSTRA GÖTALANDS LÄN</t>
        </is>
      </c>
      <c r="G268" t="inlineStr">
        <is>
          <t>MUNKEDAL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46307</v>
      </c>
      <c r="F269" t="inlineStr">
        <is>
          <t>VÄSTRA GÖTALANDS LÄN</t>
        </is>
      </c>
      <c r="G269" t="inlineStr">
        <is>
          <t>MUNKEDAL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46307</v>
      </c>
      <c r="F270" t="inlineStr">
        <is>
          <t>VÄSTRA GÖTALANDS LÄN</t>
        </is>
      </c>
      <c r="G270" t="inlineStr">
        <is>
          <t>MUNKEDAL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46307</v>
      </c>
      <c r="F271" t="inlineStr">
        <is>
          <t>VÄSTRA GÖTALANDS LÄN</t>
        </is>
      </c>
      <c r="G271" t="inlineStr">
        <is>
          <t>MUNKEDAL</t>
        </is>
      </c>
      <c r="I271" t="n">
        <v>14.1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46307</v>
      </c>
      <c r="F272" t="inlineStr">
        <is>
          <t>VÄSTRA GÖTALANDS LÄN</t>
        </is>
      </c>
      <c r="G272" t="inlineStr">
        <is>
          <t>MUNKEDAL</t>
        </is>
      </c>
      <c r="I272" t="n">
        <v>16.3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46307</v>
      </c>
      <c r="F273" t="inlineStr">
        <is>
          <t>VÄSTRA GÖTALANDS LÄN</t>
        </is>
      </c>
      <c r="G273" t="inlineStr">
        <is>
          <t>MUNKEDAL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45071</v>
      </c>
      <c r="E274" s="1" t="n">
        <v>46307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Naturvårdsverket</t>
        </is>
      </c>
      <c r="I274" t="n">
        <v>15.8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46307</v>
      </c>
      <c r="F275" t="inlineStr">
        <is>
          <t>VÄSTRA GÖTALANDS LÄN</t>
        </is>
      </c>
      <c r="G275" t="inlineStr">
        <is>
          <t>MUNKEDAL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46307</v>
      </c>
      <c r="F276" t="inlineStr">
        <is>
          <t>VÄSTRA GÖTALANDS LÄN</t>
        </is>
      </c>
      <c r="G276" t="inlineStr">
        <is>
          <t>MUNKEDAL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46307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46307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46307</v>
      </c>
      <c r="F279" t="inlineStr">
        <is>
          <t>VÄSTRA GÖTALANDS LÄN</t>
        </is>
      </c>
      <c r="G279" t="inlineStr">
        <is>
          <t>MUNKEDAL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46307</v>
      </c>
      <c r="F280" t="inlineStr">
        <is>
          <t>VÄSTRA GÖTALANDS LÄN</t>
        </is>
      </c>
      <c r="G280" t="inlineStr">
        <is>
          <t>MUNKEDAL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46307</v>
      </c>
      <c r="F281" t="inlineStr">
        <is>
          <t>VÄSTRA GÖTALANDS LÄN</t>
        </is>
      </c>
      <c r="G281" t="inlineStr">
        <is>
          <t>MUNKEDAL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46307</v>
      </c>
      <c r="F282" t="inlineStr">
        <is>
          <t>VÄSTRA GÖTALANDS LÄN</t>
        </is>
      </c>
      <c r="G282" t="inlineStr">
        <is>
          <t>MUNKEDAL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67233-2021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44523</v>
      </c>
      <c r="E283" s="1" t="n">
        <v>46307</v>
      </c>
      <c r="F283" t="inlineStr">
        <is>
          <t>VÄSTRA GÖTALANDS LÄN</t>
        </is>
      </c>
      <c r="G283" t="inlineStr">
        <is>
          <t>MUNKEDAL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46307</v>
      </c>
      <c r="F284" t="inlineStr">
        <is>
          <t>VÄSTRA GÖTALANDS LÄN</t>
        </is>
      </c>
      <c r="G284" t="inlineStr">
        <is>
          <t>MUNKEDAL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46307</v>
      </c>
      <c r="F285" t="inlineStr">
        <is>
          <t>VÄSTRA GÖTALANDS LÄN</t>
        </is>
      </c>
      <c r="G285" t="inlineStr">
        <is>
          <t>MUNKEDAL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46307</v>
      </c>
      <c r="F286" t="inlineStr">
        <is>
          <t>VÄSTRA GÖTALANDS LÄN</t>
        </is>
      </c>
      <c r="G286" t="inlineStr">
        <is>
          <t>MUNKEDAL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45322</v>
      </c>
      <c r="E287" s="1" t="n">
        <v>46307</v>
      </c>
      <c r="F287" t="inlineStr">
        <is>
          <t>VÄSTRA GÖTALANDS LÄN</t>
        </is>
      </c>
      <c r="G287" t="inlineStr">
        <is>
          <t>MUNKEDAL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46307</v>
      </c>
      <c r="F288" t="inlineStr">
        <is>
          <t>VÄSTRA GÖTALANDS LÄN</t>
        </is>
      </c>
      <c r="G288" t="inlineStr">
        <is>
          <t>MUNKEDAL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44672</v>
      </c>
      <c r="E289" s="1" t="n">
        <v>46307</v>
      </c>
      <c r="F289" t="inlineStr">
        <is>
          <t>VÄSTRA GÖTALANDS LÄN</t>
        </is>
      </c>
      <c r="G289" t="inlineStr">
        <is>
          <t>MUNKEDAL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46307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46307</v>
      </c>
      <c r="F291" t="inlineStr">
        <is>
          <t>VÄSTRA GÖTALANDS LÄN</t>
        </is>
      </c>
      <c r="G291" t="inlineStr">
        <is>
          <t>MUNKEDAL</t>
        </is>
      </c>
      <c r="I291" t="n">
        <v>17.5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46307</v>
      </c>
      <c r="F292" t="inlineStr">
        <is>
          <t>VÄSTRA GÖTALANDS LÄN</t>
        </is>
      </c>
      <c r="G292" t="inlineStr">
        <is>
          <t>MUNKEDAL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44606</v>
      </c>
      <c r="E293" s="1" t="n">
        <v>46307</v>
      </c>
      <c r="F293" t="inlineStr">
        <is>
          <t>VÄSTRA GÖTALANDS LÄN</t>
        </is>
      </c>
      <c r="G293" t="inlineStr">
        <is>
          <t>MUNKEDAL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46307</v>
      </c>
      <c r="F294" t="inlineStr">
        <is>
          <t>VÄSTRA GÖTALANDS LÄN</t>
        </is>
      </c>
      <c r="G294" t="inlineStr">
        <is>
          <t>MUNKEDAL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45489</v>
      </c>
      <c r="E295" s="1" t="n">
        <v>46307</v>
      </c>
      <c r="F295" t="inlineStr">
        <is>
          <t>VÄSTRA GÖTALANDS LÄN</t>
        </is>
      </c>
      <c r="G295" t="inlineStr">
        <is>
          <t>MUNKEDAL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46307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46307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46131</v>
      </c>
      <c r="E298" s="1" t="n">
        <v>46307</v>
      </c>
      <c r="F298" t="inlineStr">
        <is>
          <t>VÄSTRA GÖTALANDS LÄN</t>
        </is>
      </c>
      <c r="G298" t="inlineStr">
        <is>
          <t>MUNKEDAL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46307</v>
      </c>
      <c r="F299" t="inlineStr">
        <is>
          <t>VÄSTRA GÖTALANDS LÄN</t>
        </is>
      </c>
      <c r="G299" t="inlineStr">
        <is>
          <t>MUNKEDAL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46134</v>
      </c>
      <c r="E300" s="1" t="n">
        <v>46307</v>
      </c>
      <c r="F300" t="inlineStr">
        <is>
          <t>VÄSTRA GÖTALANDS LÄN</t>
        </is>
      </c>
      <c r="G300" t="inlineStr">
        <is>
          <t>MUNKEDAL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46307</v>
      </c>
      <c r="F301" t="inlineStr">
        <is>
          <t>VÄSTRA GÖTALANDS LÄN</t>
        </is>
      </c>
      <c r="G301" t="inlineStr">
        <is>
          <t>MUNKEDAL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46307</v>
      </c>
      <c r="F302" t="inlineStr">
        <is>
          <t>VÄSTRA GÖTALANDS LÄN</t>
        </is>
      </c>
      <c r="G302" t="inlineStr">
        <is>
          <t>MUNKEDAL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18280-2026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46307</v>
      </c>
      <c r="F303" t="inlineStr">
        <is>
          <t>VÄSTRA GÖTALANDS LÄN</t>
        </is>
      </c>
      <c r="G303" t="inlineStr">
        <is>
          <t>MUNKEDAL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46307</v>
      </c>
      <c r="F304" t="inlineStr">
        <is>
          <t>VÄSTRA GÖTALANDS LÄN</t>
        </is>
      </c>
      <c r="G304" t="inlineStr">
        <is>
          <t>MUNKEDAL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46307</v>
      </c>
      <c r="F305" t="inlineStr">
        <is>
          <t>VÄSTRA GÖTALANDS LÄN</t>
        </is>
      </c>
      <c r="G305" t="inlineStr">
        <is>
          <t>MUNKEDAL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46307</v>
      </c>
      <c r="F306" t="inlineStr">
        <is>
          <t>VÄSTRA GÖTALANDS LÄN</t>
        </is>
      </c>
      <c r="G306" t="inlineStr">
        <is>
          <t>MUNKEDAL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46307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46307</v>
      </c>
      <c r="F308" t="inlineStr">
        <is>
          <t>VÄSTRA GÖTALANDS LÄN</t>
        </is>
      </c>
      <c r="G308" t="inlineStr">
        <is>
          <t>MUNKEDAL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44937</v>
      </c>
      <c r="E309" s="1" t="n">
        <v>46307</v>
      </c>
      <c r="F309" t="inlineStr">
        <is>
          <t>VÄSTRA GÖTALANDS LÄN</t>
        </is>
      </c>
      <c r="G309" t="inlineStr">
        <is>
          <t>MUNKEDAL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44580</v>
      </c>
      <c r="E310" s="1" t="n">
        <v>46307</v>
      </c>
      <c r="F310" t="inlineStr">
        <is>
          <t>VÄSTRA GÖTALANDS LÄN</t>
        </is>
      </c>
      <c r="G310" t="inlineStr">
        <is>
          <t>MUNKEDAL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64132-2025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46013</v>
      </c>
      <c r="E311" s="1" t="n">
        <v>46307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46307</v>
      </c>
      <c r="F312" t="inlineStr">
        <is>
          <t>VÄSTRA GÖTALANDS LÄN</t>
        </is>
      </c>
      <c r="G312" t="inlineStr">
        <is>
          <t>MUNKEDAL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46022</v>
      </c>
      <c r="E313" s="1" t="n">
        <v>46307</v>
      </c>
      <c r="F313" t="inlineStr">
        <is>
          <t>VÄSTRA GÖTALANDS LÄN</t>
        </is>
      </c>
      <c r="G313" t="inlineStr">
        <is>
          <t>MUNKEDAL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64146-2025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46022</v>
      </c>
      <c r="E314" s="1" t="n">
        <v>46307</v>
      </c>
      <c r="F314" t="inlineStr">
        <is>
          <t>VÄSTRA GÖTALANDS LÄN</t>
        </is>
      </c>
      <c r="G314" t="inlineStr">
        <is>
          <t>MUNKEDAL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45049</v>
      </c>
      <c r="E315" s="1" t="n">
        <v>46307</v>
      </c>
      <c r="F315" t="inlineStr">
        <is>
          <t>VÄSTRA GÖTALANDS LÄN</t>
        </is>
      </c>
      <c r="G315" t="inlineStr">
        <is>
          <t>MUNKEDAL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46307</v>
      </c>
      <c r="F316" t="inlineStr">
        <is>
          <t>VÄSTRA GÖTALANDS LÄN</t>
        </is>
      </c>
      <c r="G316" t="inlineStr">
        <is>
          <t>MUNKEDAL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46307</v>
      </c>
      <c r="F317" t="inlineStr">
        <is>
          <t>VÄSTRA GÖTALANDS LÄN</t>
        </is>
      </c>
      <c r="G317" t="inlineStr">
        <is>
          <t>MUNKEDAL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46307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45070</v>
      </c>
      <c r="E319" s="1" t="n">
        <v>46307</v>
      </c>
      <c r="F319" t="inlineStr">
        <is>
          <t>VÄSTRA GÖTALANDS LÄN</t>
        </is>
      </c>
      <c r="G319" t="inlineStr">
        <is>
          <t>MUNKEDAL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45388</v>
      </c>
      <c r="E320" s="1" t="n">
        <v>46307</v>
      </c>
      <c r="F320" t="inlineStr">
        <is>
          <t>VÄSTRA GÖTALANDS LÄN</t>
        </is>
      </c>
      <c r="G320" t="inlineStr">
        <is>
          <t>MUNKEDAL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46307</v>
      </c>
      <c r="F321" t="inlineStr">
        <is>
          <t>VÄSTRA GÖTALANDS LÄN</t>
        </is>
      </c>
      <c r="G321" t="inlineStr">
        <is>
          <t>MUNKEDAL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46307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44958</v>
      </c>
      <c r="E323" s="1" t="n">
        <v>46307</v>
      </c>
      <c r="F323" t="inlineStr">
        <is>
          <t>VÄSTRA GÖTALANDS LÄN</t>
        </is>
      </c>
      <c r="G323" t="inlineStr">
        <is>
          <t>MUNKEDAL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46307</v>
      </c>
      <c r="F324" t="inlineStr">
        <is>
          <t>VÄSTRA GÖTALANDS LÄN</t>
        </is>
      </c>
      <c r="G324" t="inlineStr">
        <is>
          <t>MUNKEDAL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46307</v>
      </c>
      <c r="F325" t="inlineStr">
        <is>
          <t>VÄSTRA GÖTALANDS LÄN</t>
        </is>
      </c>
      <c r="G325" t="inlineStr">
        <is>
          <t>MUNKEDAL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46307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45820</v>
      </c>
      <c r="E327" s="1" t="n">
        <v>46307</v>
      </c>
      <c r="F327" t="inlineStr">
        <is>
          <t>VÄSTRA GÖTALANDS LÄN</t>
        </is>
      </c>
      <c r="G327" t="inlineStr">
        <is>
          <t>MUNKEDAL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46038</v>
      </c>
      <c r="E328" s="1" t="n">
        <v>46307</v>
      </c>
      <c r="F328" t="inlineStr">
        <is>
          <t>VÄSTRA GÖTALANDS LÄN</t>
        </is>
      </c>
      <c r="G328" t="inlineStr">
        <is>
          <t>MUNKEDAL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46307</v>
      </c>
      <c r="F329" t="inlineStr">
        <is>
          <t>VÄSTRA GÖTALANDS LÄN</t>
        </is>
      </c>
      <c r="G329" t="inlineStr">
        <is>
          <t>MUNKEDAL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46307</v>
      </c>
      <c r="F330" t="inlineStr">
        <is>
          <t>VÄSTRA GÖTALANDS LÄN</t>
        </is>
      </c>
      <c r="G330" t="inlineStr">
        <is>
          <t>MUNKEDAL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45618</v>
      </c>
      <c r="E331" s="1" t="n">
        <v>46307</v>
      </c>
      <c r="F331" t="inlineStr">
        <is>
          <t>VÄSTRA GÖTALANDS LÄN</t>
        </is>
      </c>
      <c r="G331" t="inlineStr">
        <is>
          <t>MUNKEDAL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45111</v>
      </c>
      <c r="E332" s="1" t="n">
        <v>46307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Naturvårdsverket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46307</v>
      </c>
      <c r="F333" t="inlineStr">
        <is>
          <t>VÄSTRA GÖTALANDS LÄN</t>
        </is>
      </c>
      <c r="G333" t="inlineStr">
        <is>
          <t>MUNKEDAL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46307</v>
      </c>
      <c r="F334" t="inlineStr">
        <is>
          <t>VÄSTRA GÖTALANDS LÄN</t>
        </is>
      </c>
      <c r="G334" t="inlineStr">
        <is>
          <t>MUNKEDAL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45072</v>
      </c>
      <c r="E335" s="1" t="n">
        <v>46307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Kommuner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46307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46307</v>
      </c>
      <c r="F337" t="inlineStr">
        <is>
          <t>VÄSTRA GÖTALANDS LÄN</t>
        </is>
      </c>
      <c r="G337" t="inlineStr">
        <is>
          <t>MUNKEDAL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46047</v>
      </c>
      <c r="E338" s="1" t="n">
        <v>46307</v>
      </c>
      <c r="F338" t="inlineStr">
        <is>
          <t>VÄSTRA GÖTALANDS LÄN</t>
        </is>
      </c>
      <c r="G338" t="inlineStr">
        <is>
          <t>MUNKEDAL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46307</v>
      </c>
      <c r="F339" t="inlineStr">
        <is>
          <t>VÄSTRA GÖTALANDS LÄN</t>
        </is>
      </c>
      <c r="G339" t="inlineStr">
        <is>
          <t>MUNKEDAL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45355</v>
      </c>
      <c r="E340" s="1" t="n">
        <v>46307</v>
      </c>
      <c r="F340" t="inlineStr">
        <is>
          <t>VÄSTRA GÖTALANDS LÄN</t>
        </is>
      </c>
      <c r="G340" t="inlineStr">
        <is>
          <t>MUNKEDAL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46307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Kyrkan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44946</v>
      </c>
      <c r="E342" s="1" t="n">
        <v>46307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20879-2026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46307</v>
      </c>
      <c r="F343" t="inlineStr">
        <is>
          <t>VÄSTRA GÖTALANDS LÄN</t>
        </is>
      </c>
      <c r="G343" t="inlineStr">
        <is>
          <t>MUNKEDAL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46307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46307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46307</v>
      </c>
      <c r="F346" t="inlineStr">
        <is>
          <t>VÄSTRA GÖTALANDS LÄN</t>
        </is>
      </c>
      <c r="G346" t="inlineStr">
        <is>
          <t>MUNKEDAL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46307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46307</v>
      </c>
      <c r="F348" t="inlineStr">
        <is>
          <t>VÄSTRA GÖTALANDS LÄN</t>
        </is>
      </c>
      <c r="G348" t="inlineStr">
        <is>
          <t>MUNKEDAL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46307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Kommuner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46307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7656-2026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46307</v>
      </c>
      <c r="F351" t="inlineStr">
        <is>
          <t>VÄSTRA GÖTALANDS LÄN</t>
        </is>
      </c>
      <c r="G351" t="inlineStr">
        <is>
          <t>MUNKEDAL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46307</v>
      </c>
      <c r="F352" t="inlineStr">
        <is>
          <t>VÄSTRA GÖTALANDS LÄN</t>
        </is>
      </c>
      <c r="G352" t="inlineStr">
        <is>
          <t>MUNKEDAL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46307</v>
      </c>
      <c r="F353" t="inlineStr">
        <is>
          <t>VÄSTRA GÖTALANDS LÄN</t>
        </is>
      </c>
      <c r="G353" t="inlineStr">
        <is>
          <t>MUNKEDAL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46307</v>
      </c>
      <c r="F354" t="inlineStr">
        <is>
          <t>VÄSTRA GÖTALANDS LÄN</t>
        </is>
      </c>
      <c r="G354" t="inlineStr">
        <is>
          <t>MUNKEDAL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46307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10775-2026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46078</v>
      </c>
      <c r="E356" s="1" t="n">
        <v>46307</v>
      </c>
      <c r="F356" t="inlineStr">
        <is>
          <t>VÄSTRA GÖTALANDS LÄN</t>
        </is>
      </c>
      <c r="G356" t="inlineStr">
        <is>
          <t>MUNKEDAL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45342</v>
      </c>
      <c r="E357" s="1" t="n">
        <v>46307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Kyrkan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46160</v>
      </c>
      <c r="E358" s="1" t="n">
        <v>46307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46091</v>
      </c>
      <c r="E359" s="1" t="n">
        <v>46307</v>
      </c>
      <c r="F359" t="inlineStr">
        <is>
          <t>VÄSTRA GÖTALANDS LÄN</t>
        </is>
      </c>
      <c r="G359" t="inlineStr">
        <is>
          <t>MUNKEDAL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46307</v>
      </c>
      <c r="F360" t="inlineStr">
        <is>
          <t>VÄSTRA GÖTALANDS LÄN</t>
        </is>
      </c>
      <c r="G360" t="inlineStr">
        <is>
          <t>MUNKEDAL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29515-2026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46307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Övriga statliga verk och myndigheter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46307</v>
      </c>
      <c r="F362" t="inlineStr">
        <is>
          <t>VÄSTRA GÖTALANDS LÄN</t>
        </is>
      </c>
      <c r="G362" t="inlineStr">
        <is>
          <t>MUNKEDAL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46307</v>
      </c>
      <c r="F363" t="inlineStr">
        <is>
          <t>VÄSTRA GÖTALANDS LÄN</t>
        </is>
      </c>
      <c r="G363" t="inlineStr">
        <is>
          <t>MUNKEDAL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42005-2023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46307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Kyrkan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46307</v>
      </c>
      <c r="F365" t="inlineStr">
        <is>
          <t>VÄSTRA GÖTALANDS LÄN</t>
        </is>
      </c>
      <c r="G365" t="inlineStr">
        <is>
          <t>MUNKEDAL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46307</v>
      </c>
      <c r="F366" t="inlineStr">
        <is>
          <t>VÄSTRA GÖTALANDS LÄN</t>
        </is>
      </c>
      <c r="G366" t="inlineStr">
        <is>
          <t>MUNKEDAL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46307</v>
      </c>
      <c r="F367" t="inlineStr">
        <is>
          <t>VÄSTRA GÖTALANDS LÄN</t>
        </is>
      </c>
      <c r="G367" t="inlineStr">
        <is>
          <t>MUNKEDAL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38164-2022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46307</v>
      </c>
      <c r="F368" t="inlineStr">
        <is>
          <t>VÄSTRA GÖTALANDS LÄN</t>
        </is>
      </c>
      <c r="G368" t="inlineStr">
        <is>
          <t>MUNKEDAL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46307</v>
      </c>
      <c r="F369" t="inlineStr">
        <is>
          <t>VÄSTRA GÖTALANDS LÄN</t>
        </is>
      </c>
      <c r="G369" t="inlineStr">
        <is>
          <t>MUNKEDAL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46307</v>
      </c>
      <c r="F370" t="inlineStr">
        <is>
          <t>VÄSTRA GÖTALANDS LÄN</t>
        </is>
      </c>
      <c r="G370" t="inlineStr">
        <is>
          <t>MUNKEDAL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46307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46307</v>
      </c>
      <c r="F372" t="inlineStr">
        <is>
          <t>VÄSTRA GÖTALANDS LÄN</t>
        </is>
      </c>
      <c r="G372" t="inlineStr">
        <is>
          <t>MUNKEDAL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46307</v>
      </c>
      <c r="F373" t="inlineStr">
        <is>
          <t>VÄSTRA GÖTALANDS LÄN</t>
        </is>
      </c>
      <c r="G373" t="inlineStr">
        <is>
          <t>MUNKEDAL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46307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46307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46209</v>
      </c>
      <c r="E376" s="1" t="n">
        <v>46307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16.7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46307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46217</v>
      </c>
      <c r="E378" s="1" t="n">
        <v>46307</v>
      </c>
      <c r="F378" t="inlineStr">
        <is>
          <t>VÄSTRA GÖTALANDS LÄN</t>
        </is>
      </c>
      <c r="G378" t="inlineStr">
        <is>
          <t>MUNKEDAL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46217</v>
      </c>
      <c r="E379" s="1" t="n">
        <v>46307</v>
      </c>
      <c r="F379" t="inlineStr">
        <is>
          <t>VÄSTRA GÖTALANDS LÄN</t>
        </is>
      </c>
      <c r="G379" t="inlineStr">
        <is>
          <t>MUNKEDAL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46267</v>
      </c>
      <c r="E380" s="1" t="n">
        <v>46307</v>
      </c>
      <c r="F380" t="inlineStr">
        <is>
          <t>VÄSTRA GÖTALANDS LÄN</t>
        </is>
      </c>
      <c r="G380" t="inlineStr">
        <is>
          <t>MUNKEDAL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46307</v>
      </c>
      <c r="F381" t="inlineStr">
        <is>
          <t>VÄSTRA GÖTALANDS LÄN</t>
        </is>
      </c>
      <c r="G381" t="inlineStr">
        <is>
          <t>MUNKEDAL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46307</v>
      </c>
      <c r="F382" t="inlineStr">
        <is>
          <t>VÄSTRA GÖTALANDS LÄN</t>
        </is>
      </c>
      <c r="G382" t="inlineStr">
        <is>
          <t>MUNKEDAL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46274</v>
      </c>
      <c r="E383" s="1" t="n">
        <v>46307</v>
      </c>
      <c r="F383" t="inlineStr">
        <is>
          <t>VÄSTRA GÖTALANDS LÄN</t>
        </is>
      </c>
      <c r="G383" t="inlineStr">
        <is>
          <t>MUNKEDAL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46307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37084-2026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46273</v>
      </c>
      <c r="E385" s="1" t="n">
        <v>46307</v>
      </c>
      <c r="F385" t="inlineStr">
        <is>
          <t>VÄSTRA GÖTALANDS LÄN</t>
        </is>
      </c>
      <c r="G385" t="inlineStr">
        <is>
          <t>MUNKEDAL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46307</v>
      </c>
      <c r="F386" t="inlineStr">
        <is>
          <t>VÄSTRA GÖTALANDS LÄN</t>
        </is>
      </c>
      <c r="G386" t="inlineStr">
        <is>
          <t>MUNKEDAL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46239</v>
      </c>
      <c r="E387" s="1" t="n">
        <v>46307</v>
      </c>
      <c r="F387" t="inlineStr">
        <is>
          <t>VÄSTRA GÖTALANDS LÄN</t>
        </is>
      </c>
      <c r="G387" t="inlineStr">
        <is>
          <t>MUNKEDAL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46286</v>
      </c>
      <c r="E388" s="1" t="n">
        <v>46307</v>
      </c>
      <c r="F388" t="inlineStr">
        <is>
          <t>VÄSTRA GÖTALANDS LÄN</t>
        </is>
      </c>
      <c r="G388" t="inlineStr">
        <is>
          <t>MUNKEDAL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46286</v>
      </c>
      <c r="E389" s="1" t="n">
        <v>46307</v>
      </c>
      <c r="F389" t="inlineStr">
        <is>
          <t>VÄSTRA GÖTALANDS LÄN</t>
        </is>
      </c>
      <c r="G389" t="inlineStr">
        <is>
          <t>MUNKEDAL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46276</v>
      </c>
      <c r="E390" s="1" t="n">
        <v>46307</v>
      </c>
      <c r="F390" t="inlineStr">
        <is>
          <t>VÄSTRA GÖTALANDS LÄN</t>
        </is>
      </c>
      <c r="G390" t="inlineStr">
        <is>
          <t>MUNKEDAL</t>
        </is>
      </c>
      <c r="I390" t="n">
        <v>11.8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46307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46244</v>
      </c>
      <c r="E392" s="1" t="n">
        <v>46307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46307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46247</v>
      </c>
      <c r="E394" s="1" t="n">
        <v>46307</v>
      </c>
      <c r="F394" t="inlineStr">
        <is>
          <t>VÄSTRA GÖTALANDS LÄN</t>
        </is>
      </c>
      <c r="G394" t="inlineStr">
        <is>
          <t>MUNKEDAL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46307</v>
      </c>
      <c r="F395" t="inlineStr">
        <is>
          <t>VÄSTRA GÖTALANDS LÄN</t>
        </is>
      </c>
      <c r="G395" t="inlineStr">
        <is>
          <t>MUNKEDAL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46307</v>
      </c>
      <c r="F396" t="inlineStr">
        <is>
          <t>VÄSTRA GÖTALANDS LÄN</t>
        </is>
      </c>
      <c r="G396" t="inlineStr">
        <is>
          <t>MUNKEDAL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46307</v>
      </c>
      <c r="F397" t="inlineStr">
        <is>
          <t>VÄSTRA GÖTALANDS LÄN</t>
        </is>
      </c>
      <c r="G397" t="inlineStr">
        <is>
          <t>MUNKEDAL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46294</v>
      </c>
      <c r="E398" s="1" t="n">
        <v>46307</v>
      </c>
      <c r="F398" t="inlineStr">
        <is>
          <t>VÄSTRA GÖTALANDS LÄN</t>
        </is>
      </c>
      <c r="G398" t="inlineStr">
        <is>
          <t>MUNKEDAL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46307</v>
      </c>
      <c r="F399" t="inlineStr">
        <is>
          <t>VÄSTRA GÖTALANDS LÄN</t>
        </is>
      </c>
      <c r="G399" t="inlineStr">
        <is>
          <t>MUNKEDAL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46294</v>
      </c>
      <c r="E400" s="1" t="n">
        <v>46307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34306-2026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46254</v>
      </c>
      <c r="E401" s="1" t="n">
        <v>46307</v>
      </c>
      <c r="F401" t="inlineStr">
        <is>
          <t>VÄSTRA GÖTALANDS LÄN</t>
        </is>
      </c>
      <c r="G401" t="inlineStr">
        <is>
          <t>MUNKEDAL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34288-2026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46253</v>
      </c>
      <c r="E402" s="1" t="n">
        <v>46307</v>
      </c>
      <c r="F402" t="inlineStr">
        <is>
          <t>VÄSTRA GÖTALANDS LÄN</t>
        </is>
      </c>
      <c r="G402" t="inlineStr">
        <is>
          <t>MUNKEDAL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46307</v>
      </c>
      <c r="F403" t="inlineStr">
        <is>
          <t>VÄSTRA GÖTALANDS LÄN</t>
        </is>
      </c>
      <c r="G403" t="inlineStr">
        <is>
          <t>MUNKEDAL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46307</v>
      </c>
      <c r="F404" t="inlineStr">
        <is>
          <t>VÄSTRA GÖTALANDS LÄN</t>
        </is>
      </c>
      <c r="G404" t="inlineStr">
        <is>
          <t>MUNKEDAL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46307</v>
      </c>
      <c r="F405" t="inlineStr">
        <is>
          <t>VÄSTRA GÖTALANDS LÄN</t>
        </is>
      </c>
      <c r="G405" t="inlineStr">
        <is>
          <t>MUNKEDAL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46307</v>
      </c>
      <c r="F406" t="inlineStr">
        <is>
          <t>VÄSTRA GÖTALANDS LÄN</t>
        </is>
      </c>
      <c r="G406" t="inlineStr">
        <is>
          <t>MUNKEDAL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46295</v>
      </c>
      <c r="E407" s="1" t="n">
        <v>46307</v>
      </c>
      <c r="F407" t="inlineStr">
        <is>
          <t>VÄSTRA GÖTALANDS LÄN</t>
        </is>
      </c>
      <c r="G407" t="inlineStr">
        <is>
          <t>MUNKEDAL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46307</v>
      </c>
      <c r="F408" t="inlineStr">
        <is>
          <t>VÄSTRA GÖTALANDS LÄN</t>
        </is>
      </c>
      <c r="G408" t="inlineStr">
        <is>
          <t>MUNKEDAL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46307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46303</v>
      </c>
      <c r="E410" s="1" t="n">
        <v>46307</v>
      </c>
      <c r="F410" t="inlineStr">
        <is>
          <t>VÄSTRA GÖTALANDS LÄN</t>
        </is>
      </c>
      <c r="G410" t="inlineStr">
        <is>
          <t>MUNKEDAL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41892-2026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46303</v>
      </c>
      <c r="E411" s="1" t="n">
        <v>46307</v>
      </c>
      <c r="F411" t="inlineStr">
        <is>
          <t>VÄSTRA GÖTALANDS LÄN</t>
        </is>
      </c>
      <c r="G411" t="inlineStr">
        <is>
          <t>MUNKEDAL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46307</v>
      </c>
      <c r="F412" t="inlineStr">
        <is>
          <t>VÄSTRA GÖTALANDS LÄN</t>
        </is>
      </c>
      <c r="G412" t="inlineStr">
        <is>
          <t>MUNKEDAL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41766-2026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46302</v>
      </c>
      <c r="E413" s="1" t="n">
        <v>46307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46307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46307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46307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46307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46307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2026-10-12T02:00:35Z</dcterms:created>
  <dcterms:modified xmlns:dcterms="http://purl.org/dc/terms/" xmlns:xsi="http://www.w3.org/2001/XMLSchema-instance" xsi:type="dcterms:W3CDTF">2026-10-12T02:00:35Z</dcterms:modified>
</cp:coreProperties>
</file>