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46293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46293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46293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46293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46293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46293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46293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46293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46293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46293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46293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46293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46293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16618-2022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44672</v>
      </c>
      <c r="E16" s="1" t="n">
        <v>46293</v>
      </c>
      <c r="F16" t="inlineStr">
        <is>
          <t>VÄSTRA GÖTALANDS LÄN</t>
        </is>
      </c>
      <c r="G16" t="inlineStr">
        <is>
          <t>MUNKEDAL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Vanlig padda</t>
        </is>
      </c>
      <c r="W16">
        <f>HYPERLINK("https://klasma.github.io/Logging_1430/artfynd/A 16618-2022 artfynd.xlsx", "A 16618-2022")</f>
        <v/>
      </c>
      <c r="X16">
        <f>HYPERLINK("https://klasma.github.io/Logging_1430/kartor/A 16618-2022 karta.png", "A 16618-2022")</f>
        <v/>
      </c>
      <c r="Y16">
        <f>HYPERLINK("https://klasma.github.io/Logging_1430/kartor_geotiff/A 16618-2022 georefererad karta.tif", "A 16618-2022")</f>
        <v/>
      </c>
      <c r="AA16">
        <f>HYPERLINK("https://klasma.github.io/Logging_1430/klagomål/A 16618-2022 FSC-klagomål.docx", "A 16618-2022")</f>
        <v/>
      </c>
      <c r="AB16">
        <f>HYPERLINK("https://klasma.github.io/Logging_1430/klagomålsmail/A 16618-2022 FSC-klagomål mail.docx", "A 16618-2022")</f>
        <v/>
      </c>
      <c r="AC16">
        <f>HYPERLINK("https://klasma.github.io/Logging_1430/tillsyn/A 16618-2022 tillsynsbegäran.docx", "A 16618-2022")</f>
        <v/>
      </c>
      <c r="AD16">
        <f>HYPERLINK("https://klasma.github.io/Logging_1430/tillsynsmail/A 16618-2022 tillsynsbegäran mail.docx", "A 16618-2022")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46293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Honungsvaxing</t>
        </is>
      </c>
      <c r="W17">
        <f>HYPERLINK("https://klasma.github.io/Logging_1430/artfynd/A 20258-2022 artfynd.xlsx", "A 20258-2022")</f>
        <v/>
      </c>
      <c r="X17">
        <f>HYPERLINK("https://klasma.github.io/Logging_1430/kartor/A 20258-2022 karta.png", "A 20258-2022")</f>
        <v/>
      </c>
      <c r="Y17">
        <f>HYPERLINK("https://klasma.github.io/Logging_1430/kartor_geotiff/A 20258-2022 georefererad karta.tif", "A 20258-2022")</f>
        <v/>
      </c>
      <c r="AA17">
        <f>HYPERLINK("https://klasma.github.io/Logging_1430/klagomål/A 20258-2022 FSC-klagomål.docx", "A 20258-2022")</f>
        <v/>
      </c>
      <c r="AB17">
        <f>HYPERLINK("https://klasma.github.io/Logging_1430/klagomålsmail/A 20258-2022 FSC-klagomål mail.docx", "A 20258-2022")</f>
        <v/>
      </c>
      <c r="AC17">
        <f>HYPERLINK("https://klasma.github.io/Logging_1430/tillsyn/A 20258-2022 tillsynsbegäran.docx", "A 20258-2022")</f>
        <v/>
      </c>
      <c r="AD17">
        <f>HYPERLINK("https://klasma.github.io/Logging_1430/tillsynsmail/A 20258-2022 tillsynsbegäran mail.docx", "A 20258-2022")</f>
        <v/>
      </c>
    </row>
    <row r="18" ht="15" customHeight="1">
      <c r="A18" t="inlineStr">
        <is>
          <t>A 51398-2025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46293</v>
      </c>
      <c r="F18" t="inlineStr">
        <is>
          <t>VÄSTRA GÖTALANDS LÄN</t>
        </is>
      </c>
      <c r="G18" t="inlineStr">
        <is>
          <t>MUNKEDAL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HYPERLINK("https://klasma.github.io/Logging_1430/artfynd/A 51398-2025 artfynd.xlsx", "A 51398-2025")</f>
        <v/>
      </c>
      <c r="X18">
        <f>HYPERLINK("https://klasma.github.io/Logging_1430/kartor/A 51398-2025 karta.png", "A 51398-2025")</f>
        <v/>
      </c>
      <c r="Y18">
        <f>HYPERLINK("https://klasma.github.io/Logging_1430/kartor_geotiff/A 51398-2025 georefererad karta.tif", "A 51398-2025")</f>
        <v/>
      </c>
      <c r="AA18">
        <f>HYPERLINK("https://klasma.github.io/Logging_1430/klagomål/A 51398-2025 FSC-klagomål.docx", "A 51398-2025")</f>
        <v/>
      </c>
      <c r="AB18">
        <f>HYPERLINK("https://klasma.github.io/Logging_1430/klagomålsmail/A 51398-2025 FSC-klagomål mail.docx", "A 51398-2025")</f>
        <v/>
      </c>
      <c r="AC18">
        <f>HYPERLINK("https://klasma.github.io/Logging_1430/tillsyn/A 51398-2025 tillsynsbegäran.docx", "A 51398-2025")</f>
        <v/>
      </c>
      <c r="AD18">
        <f>HYPERLINK("https://klasma.github.io/Logging_1430/tillsynsmail/A 51398-2025 tillsynsbegäran mail.docx", "A 51398-2025")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46293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46293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22963-2026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46160</v>
      </c>
      <c r="E21" s="1" t="n">
        <v>46293</v>
      </c>
      <c r="F21" t="inlineStr">
        <is>
          <t>VÄSTRA GÖTALANDS LÄN</t>
        </is>
      </c>
      <c r="G21" t="inlineStr">
        <is>
          <t>MUNKEDAL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HYPERLINK("https://klasma.github.io/Logging_1430/artfynd/A 22963-2026 artfynd.xlsx", "A 22963-2026")</f>
        <v/>
      </c>
      <c r="X21">
        <f>HYPERLINK("https://klasma.github.io/Logging_1430/kartor/A 22963-2026 karta.png", "A 22963-2026")</f>
        <v/>
      </c>
      <c r="Y21">
        <f>HYPERLINK("https://klasma.github.io/Logging_1430/kartor_geotiff/A 22963-2026 georefererad karta.tif", "A 22963-2026")</f>
        <v/>
      </c>
      <c r="AA21">
        <f>HYPERLINK("https://klasma.github.io/Logging_1430/klagomål/A 22963-2026 FSC-klagomål.docx", "A 22963-2026")</f>
        <v/>
      </c>
      <c r="AB21">
        <f>HYPERLINK("https://klasma.github.io/Logging_1430/klagomålsmail/A 22963-2026 FSC-klagomål mail.docx", "A 22963-2026")</f>
        <v/>
      </c>
      <c r="AC21">
        <f>HYPERLINK("https://klasma.github.io/Logging_1430/tillsyn/A 22963-2026 tillsynsbegäran.docx", "A 22963-2026")</f>
        <v/>
      </c>
      <c r="AD21">
        <f>HYPERLINK("https://klasma.github.io/Logging_1430/tillsynsmail/A 22963-2026 tillsynsbegäran mail.docx", "A 22963-2026")</f>
        <v/>
      </c>
    </row>
    <row r="22" ht="15" customHeight="1">
      <c r="A22" t="inlineStr">
        <is>
          <t>A 23065-2026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46293</v>
      </c>
      <c r="F22" t="inlineStr">
        <is>
          <t>VÄSTRA GÖTALANDS LÄN</t>
        </is>
      </c>
      <c r="G22" t="inlineStr">
        <is>
          <t>MUNKEDAL</t>
        </is>
      </c>
      <c r="I22" t="n">
        <v>7.5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23065-2026 artfynd.xlsx", "A 23065-2026")</f>
        <v/>
      </c>
      <c r="X22">
        <f>HYPERLINK("https://klasma.github.io/Logging_1430/kartor/A 23065-2026 karta.png", "A 23065-2026")</f>
        <v/>
      </c>
      <c r="Y22">
        <f>HYPERLINK("https://klasma.github.io/Logging_1430/kartor_geotiff/A 23065-2026 georefererad karta.tif", "A 23065-2026")</f>
        <v/>
      </c>
      <c r="AA22">
        <f>HYPERLINK("https://klasma.github.io/Logging_1430/klagomål/A 23065-2026 FSC-klagomål.docx", "A 23065-2026")</f>
        <v/>
      </c>
      <c r="AB22">
        <f>HYPERLINK("https://klasma.github.io/Logging_1430/klagomålsmail/A 23065-2026 FSC-klagomål mail.docx", "A 23065-2026")</f>
        <v/>
      </c>
      <c r="AC22">
        <f>HYPERLINK("https://klasma.github.io/Logging_1430/tillsyn/A 23065-2026 tillsynsbegäran.docx", "A 23065-2026")</f>
        <v/>
      </c>
      <c r="AD22">
        <f>HYPERLINK("https://klasma.github.io/Logging_1430/tillsynsmail/A 23065-2026 tillsynsbegäran mail.docx", "A 23065-2026")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46293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45083-2024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46293</v>
      </c>
      <c r="F24" t="inlineStr">
        <is>
          <t>VÄSTRA GÖTALANDS LÄN</t>
        </is>
      </c>
      <c r="G24" t="inlineStr">
        <is>
          <t>MUNKEDAL</t>
        </is>
      </c>
      <c r="I24" t="n">
        <v>2.7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HYPERLINK("https://klasma.github.io/Logging_1430/artfynd/A 45083-2024 artfynd.xlsx", "A 45083-2024")</f>
        <v/>
      </c>
      <c r="X24">
        <f>HYPERLINK("https://klasma.github.io/Logging_1430/kartor/A 45083-2024 karta.png", "A 45083-2024")</f>
        <v/>
      </c>
      <c r="Y24">
        <f>HYPERLINK("https://klasma.github.io/Logging_1430/kartor_geotiff/A 45083-2024 georefererad karta.tif", "A 45083-2024")</f>
        <v/>
      </c>
      <c r="AA24">
        <f>HYPERLINK("https://klasma.github.io/Logging_1430/klagomål/A 45083-2024 FSC-klagomål.docx", "A 45083-2024")</f>
        <v/>
      </c>
      <c r="AB24">
        <f>HYPERLINK("https://klasma.github.io/Logging_1430/klagomålsmail/A 45083-2024 FSC-klagomål mail.docx", "A 45083-2024")</f>
        <v/>
      </c>
      <c r="AC24">
        <f>HYPERLINK("https://klasma.github.io/Logging_1430/tillsyn/A 45083-2024 tillsynsbegäran.docx", "A 45083-2024")</f>
        <v/>
      </c>
      <c r="AD24">
        <f>HYPERLINK("https://klasma.github.io/Logging_1430/tillsynsmail/A 45083-2024 tillsynsbegäran mail.docx", "A 45083-2024")</f>
        <v/>
      </c>
    </row>
    <row r="25" ht="15" customHeight="1">
      <c r="A25" t="inlineStr">
        <is>
          <t>A 45160-2024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46293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Naturvårdsverket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HYPERLINK("https://klasma.github.io/Logging_1430/artfynd/A 45160-2024 artfynd.xlsx", "A 45160-2024")</f>
        <v/>
      </c>
      <c r="X25">
        <f>HYPERLINK("https://klasma.github.io/Logging_1430/kartor/A 45160-2024 karta.png", "A 45160-2024")</f>
        <v/>
      </c>
      <c r="Y25">
        <f>HYPERLINK("https://klasma.github.io/Logging_1430/kartor_geotiff/A 45160-2024 georefererad karta.tif", "A 45160-2024")</f>
        <v/>
      </c>
      <c r="AA25">
        <f>HYPERLINK("https://klasma.github.io/Logging_1430/klagomål/A 45160-2024 FSC-klagomål.docx", "A 45160-2024")</f>
        <v/>
      </c>
      <c r="AB25">
        <f>HYPERLINK("https://klasma.github.io/Logging_1430/klagomålsmail/A 45160-2024 FSC-klagomål mail.docx", "A 45160-2024")</f>
        <v/>
      </c>
      <c r="AC25">
        <f>HYPERLINK("https://klasma.github.io/Logging_1430/tillsyn/A 45160-2024 tillsynsbegäran.docx", "A 45160-2024")</f>
        <v/>
      </c>
      <c r="AD25">
        <f>HYPERLINK("https://klasma.github.io/Logging_1430/tillsynsmail/A 45160-2024 tillsynsbegäran mail.docx", "A 45160-2024")</f>
        <v/>
      </c>
      <c r="AE25">
        <f>HYPERLINK("https://klasma.github.io/Logging_1430/fåglar/A 45160-2024 prioriterade fågelarter.docx", "A 45160-2024")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46293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46293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46293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46293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46293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46293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46293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46293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46293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46293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46293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46293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46293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46293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46293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46293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46293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46293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46293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46293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46293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46293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46293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46293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46293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46293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46293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46293</v>
      </c>
      <c r="F53" t="inlineStr">
        <is>
          <t>VÄSTRA GÖTALANDS LÄN</t>
        </is>
      </c>
      <c r="G53" t="inlineStr">
        <is>
          <t>MUNKEDAL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58617-2023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45251</v>
      </c>
      <c r="E54" s="1" t="n">
        <v>46293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15555-2024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46293</v>
      </c>
      <c r="F55" t="inlineStr">
        <is>
          <t>VÄSTRA GÖTALANDS LÄN</t>
        </is>
      </c>
      <c r="G55" t="inlineStr">
        <is>
          <t>MUNKEDAL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45244</v>
      </c>
      <c r="E56" s="1" t="n">
        <v>46293</v>
      </c>
      <c r="F56" t="inlineStr">
        <is>
          <t>VÄSTRA GÖTALANDS LÄN</t>
        </is>
      </c>
      <c r="G56" t="inlineStr">
        <is>
          <t>MUNKEDAL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46293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46293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14339-2024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45393</v>
      </c>
      <c r="E59" s="1" t="n">
        <v>46293</v>
      </c>
      <c r="F59" t="inlineStr">
        <is>
          <t>VÄSTRA GÖTALANDS LÄN</t>
        </is>
      </c>
      <c r="G59" t="inlineStr">
        <is>
          <t>MUNKEDAL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46293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46293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46293</v>
      </c>
      <c r="F62" t="inlineStr">
        <is>
          <t>VÄSTRA GÖTALANDS LÄN</t>
        </is>
      </c>
      <c r="G62" t="inlineStr">
        <is>
          <t>MUNKEDAL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45696</v>
      </c>
      <c r="E63" s="1" t="n">
        <v>46293</v>
      </c>
      <c r="F63" t="inlineStr">
        <is>
          <t>VÄSTRA GÖTALANDS LÄN</t>
        </is>
      </c>
      <c r="G63" t="inlineStr">
        <is>
          <t>MUNKEDAL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46293</v>
      </c>
      <c r="F64" t="inlineStr">
        <is>
          <t>VÄSTRA GÖTALANDS LÄN</t>
        </is>
      </c>
      <c r="G64" t="inlineStr">
        <is>
          <t>MUNKEDAL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45418</v>
      </c>
      <c r="E65" s="1" t="n">
        <v>46293</v>
      </c>
      <c r="F65" t="inlineStr">
        <is>
          <t>VÄSTRA GÖTALANDS LÄN</t>
        </is>
      </c>
      <c r="G65" t="inlineStr">
        <is>
          <t>MUNKEDAL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46293</v>
      </c>
      <c r="F66" t="inlineStr">
        <is>
          <t>VÄSTRA GÖTALANDS LÄN</t>
        </is>
      </c>
      <c r="G66" t="inlineStr">
        <is>
          <t>MUNKEDAL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64147-2025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46022</v>
      </c>
      <c r="E67" s="1" t="n">
        <v>46293</v>
      </c>
      <c r="F67" t="inlineStr">
        <is>
          <t>VÄSTRA GÖTALANDS LÄN</t>
        </is>
      </c>
      <c r="G67" t="inlineStr">
        <is>
          <t>MUNKEDAL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64146-2025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46022</v>
      </c>
      <c r="E68" s="1" t="n">
        <v>46293</v>
      </c>
      <c r="F68" t="inlineStr">
        <is>
          <t>VÄSTRA GÖTALANDS LÄN</t>
        </is>
      </c>
      <c r="G68" t="inlineStr">
        <is>
          <t>MUNKEDAL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45111</v>
      </c>
      <c r="E69" s="1" t="n">
        <v>46293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Naturvårdsverket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46293</v>
      </c>
      <c r="F70" t="inlineStr">
        <is>
          <t>VÄSTRA GÖTALANDS LÄN</t>
        </is>
      </c>
      <c r="G70" t="inlineStr">
        <is>
          <t>MUNKEDAL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46293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45455</v>
      </c>
      <c r="E72" s="1" t="n">
        <v>46293</v>
      </c>
      <c r="F72" t="inlineStr">
        <is>
          <t>VÄSTRA GÖTALANDS LÄN</t>
        </is>
      </c>
      <c r="G72" t="inlineStr">
        <is>
          <t>MUNKEDAL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46293</v>
      </c>
      <c r="F73" t="inlineStr">
        <is>
          <t>VÄSTRA GÖTALANDS LÄN</t>
        </is>
      </c>
      <c r="G73" t="inlineStr">
        <is>
          <t>MUNKEDAL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46293</v>
      </c>
      <c r="F74" t="inlineStr">
        <is>
          <t>VÄSTRA GÖTALANDS LÄN</t>
        </is>
      </c>
      <c r="G74" t="inlineStr">
        <is>
          <t>MUNKEDAL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46293</v>
      </c>
      <c r="F75" t="inlineStr">
        <is>
          <t>VÄSTRA GÖTALANDS LÄN</t>
        </is>
      </c>
      <c r="G75" t="inlineStr">
        <is>
          <t>MUNKEDAL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51411-2022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46293</v>
      </c>
      <c r="F76" t="inlineStr">
        <is>
          <t>VÄSTRA GÖTALANDS LÄN</t>
        </is>
      </c>
      <c r="G76" t="inlineStr">
        <is>
          <t>MUNKEDAL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46293</v>
      </c>
      <c r="F77" t="inlineStr">
        <is>
          <t>VÄSTRA GÖTALANDS LÄN</t>
        </is>
      </c>
      <c r="G77" t="inlineStr">
        <is>
          <t>MUNKEDAL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46293</v>
      </c>
      <c r="F78" t="inlineStr">
        <is>
          <t>VÄSTRA GÖTALANDS LÄN</t>
        </is>
      </c>
      <c r="G78" t="inlineStr">
        <is>
          <t>MUNKEDAL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46293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46293</v>
      </c>
      <c r="F80" t="inlineStr">
        <is>
          <t>VÄSTRA GÖTALANDS LÄN</t>
        </is>
      </c>
      <c r="G80" t="inlineStr">
        <is>
          <t>MUNKEDAL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45488</v>
      </c>
      <c r="E81" s="1" t="n">
        <v>46293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46293</v>
      </c>
      <c r="F82" t="inlineStr">
        <is>
          <t>VÄSTRA GÖTALANDS LÄN</t>
        </is>
      </c>
      <c r="G82" t="inlineStr">
        <is>
          <t>MUNKEDAL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44984</v>
      </c>
      <c r="E83" s="1" t="n">
        <v>46293</v>
      </c>
      <c r="F83" t="inlineStr">
        <is>
          <t>VÄSTRA GÖTALANDS LÄN</t>
        </is>
      </c>
      <c r="G83" t="inlineStr">
        <is>
          <t>MUNKEDAL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46293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46293</v>
      </c>
      <c r="F85" t="inlineStr">
        <is>
          <t>VÄSTRA GÖTALANDS LÄN</t>
        </is>
      </c>
      <c r="G85" t="inlineStr">
        <is>
          <t>MUNKEDAL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46293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45631</v>
      </c>
      <c r="E87" s="1" t="n">
        <v>46293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28919-2025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46293</v>
      </c>
      <c r="F88" t="inlineStr">
        <is>
          <t>VÄSTRA GÖTALANDS LÄN</t>
        </is>
      </c>
      <c r="G88" t="inlineStr">
        <is>
          <t>MUNKEDAL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46038</v>
      </c>
      <c r="E89" s="1" t="n">
        <v>46293</v>
      </c>
      <c r="F89" t="inlineStr">
        <is>
          <t>VÄSTRA GÖTALANDS LÄN</t>
        </is>
      </c>
      <c r="G89" t="inlineStr">
        <is>
          <t>MUNKEDAL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46038</v>
      </c>
      <c r="E90" s="1" t="n">
        <v>46293</v>
      </c>
      <c r="F90" t="inlineStr">
        <is>
          <t>VÄSTRA GÖTALANDS LÄN</t>
        </is>
      </c>
      <c r="G90" t="inlineStr">
        <is>
          <t>MUNKEDAL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46293</v>
      </c>
      <c r="F91" t="inlineStr">
        <is>
          <t>VÄSTRA GÖTALANDS LÄN</t>
        </is>
      </c>
      <c r="G91" t="inlineStr">
        <is>
          <t>MUNKEDAL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46293</v>
      </c>
      <c r="F92" t="inlineStr">
        <is>
          <t>VÄSTRA GÖTALANDS LÄN</t>
        </is>
      </c>
      <c r="G92" t="inlineStr">
        <is>
          <t>MUNKEDAL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46293</v>
      </c>
      <c r="F93" t="inlineStr">
        <is>
          <t>VÄSTRA GÖTALANDS LÄN</t>
        </is>
      </c>
      <c r="G93" t="inlineStr">
        <is>
          <t>MUNKEDAL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12243-2024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45378</v>
      </c>
      <c r="E94" s="1" t="n">
        <v>46293</v>
      </c>
      <c r="F94" t="inlineStr">
        <is>
          <t>VÄSTRA GÖTALANDS LÄN</t>
        </is>
      </c>
      <c r="G94" t="inlineStr">
        <is>
          <t>MUNKEDAL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24073-2024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46293</v>
      </c>
      <c r="F95" t="inlineStr">
        <is>
          <t>VÄSTRA GÖTALANDS LÄN</t>
        </is>
      </c>
      <c r="G95" t="inlineStr">
        <is>
          <t>MUNKEDAL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46293</v>
      </c>
      <c r="F96" t="inlineStr">
        <is>
          <t>VÄSTRA GÖTALANDS LÄN</t>
        </is>
      </c>
      <c r="G96" t="inlineStr">
        <is>
          <t>MUNKEDAL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46293</v>
      </c>
      <c r="F97" t="inlineStr">
        <is>
          <t>VÄSTRA GÖTALANDS LÄN</t>
        </is>
      </c>
      <c r="G97" t="inlineStr">
        <is>
          <t>MUNKEDAL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46293</v>
      </c>
      <c r="F98" t="inlineStr">
        <is>
          <t>VÄSTRA GÖTALANDS LÄN</t>
        </is>
      </c>
      <c r="G98" t="inlineStr">
        <is>
          <t>MUNKEDAL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46293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46293</v>
      </c>
      <c r="F100" t="inlineStr">
        <is>
          <t>VÄSTRA GÖTALANDS LÄN</t>
        </is>
      </c>
      <c r="G100" t="inlineStr">
        <is>
          <t>MUNKEDAL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46047</v>
      </c>
      <c r="E101" s="1" t="n">
        <v>46293</v>
      </c>
      <c r="F101" t="inlineStr">
        <is>
          <t>VÄSTRA GÖTALANDS LÄN</t>
        </is>
      </c>
      <c r="G101" t="inlineStr">
        <is>
          <t>MUNKEDAL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45148</v>
      </c>
      <c r="E102" s="1" t="n">
        <v>46293</v>
      </c>
      <c r="F102" t="inlineStr">
        <is>
          <t>VÄSTRA GÖTALANDS LÄN</t>
        </is>
      </c>
      <c r="G102" t="inlineStr">
        <is>
          <t>MUNKEDAL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46293</v>
      </c>
      <c r="F103" t="inlineStr">
        <is>
          <t>VÄSTRA GÖTALANDS LÄN</t>
        </is>
      </c>
      <c r="G103" t="inlineStr">
        <is>
          <t>MUNKEDAL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46293</v>
      </c>
      <c r="F104" t="inlineStr">
        <is>
          <t>VÄSTRA GÖTALANDS LÄN</t>
        </is>
      </c>
      <c r="G104" t="inlineStr">
        <is>
          <t>MUNKEDAL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46293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46293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46293</v>
      </c>
      <c r="F107" t="inlineStr">
        <is>
          <t>VÄSTRA GÖTALANDS LÄN</t>
        </is>
      </c>
      <c r="G107" t="inlineStr">
        <is>
          <t>MUNKEDAL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46293</v>
      </c>
      <c r="F108" t="inlineStr">
        <is>
          <t>VÄSTRA GÖTALANDS LÄN</t>
        </is>
      </c>
      <c r="G108" t="inlineStr">
        <is>
          <t>MUNKEDAL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46293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46293</v>
      </c>
      <c r="F110" t="inlineStr">
        <is>
          <t>VÄSTRA GÖTALANDS LÄN</t>
        </is>
      </c>
      <c r="G110" t="inlineStr">
        <is>
          <t>MUNKEDAL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46293</v>
      </c>
      <c r="F111" t="inlineStr">
        <is>
          <t>VÄSTRA GÖTALANDS LÄN</t>
        </is>
      </c>
      <c r="G111" t="inlineStr">
        <is>
          <t>MUNKEDAL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46293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44960</v>
      </c>
      <c r="E113" s="1" t="n">
        <v>46293</v>
      </c>
      <c r="F113" t="inlineStr">
        <is>
          <t>VÄSTRA GÖTALANDS LÄN</t>
        </is>
      </c>
      <c r="G113" t="inlineStr">
        <is>
          <t>MUNKEDAL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46293</v>
      </c>
      <c r="F114" t="inlineStr">
        <is>
          <t>VÄSTRA GÖTALANDS LÄN</t>
        </is>
      </c>
      <c r="G114" t="inlineStr">
        <is>
          <t>MUNKEDAL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46293</v>
      </c>
      <c r="F115" t="inlineStr">
        <is>
          <t>VÄSTRA GÖTALANDS LÄN</t>
        </is>
      </c>
      <c r="G115" t="inlineStr">
        <is>
          <t>MUNKEDAL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46293</v>
      </c>
      <c r="F116" t="inlineStr">
        <is>
          <t>VÄSTRA GÖTALANDS LÄN</t>
        </is>
      </c>
      <c r="G116" t="inlineStr">
        <is>
          <t>MUNKEDAL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46293</v>
      </c>
      <c r="F117" t="inlineStr">
        <is>
          <t>VÄSTRA GÖTALANDS LÄN</t>
        </is>
      </c>
      <c r="G117" t="inlineStr">
        <is>
          <t>MUNKEDAL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46293</v>
      </c>
      <c r="F118" t="inlineStr">
        <is>
          <t>VÄSTRA GÖTALANDS LÄN</t>
        </is>
      </c>
      <c r="G118" t="inlineStr">
        <is>
          <t>MUNKEDAL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46063</v>
      </c>
      <c r="E119" s="1" t="n">
        <v>46293</v>
      </c>
      <c r="F119" t="inlineStr">
        <is>
          <t>VÄSTRA GÖTALANDS LÄN</t>
        </is>
      </c>
      <c r="G119" t="inlineStr">
        <is>
          <t>MUNKEDAL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46293</v>
      </c>
      <c r="F120" t="inlineStr">
        <is>
          <t>VÄSTRA GÖTALANDS LÄN</t>
        </is>
      </c>
      <c r="G120" t="inlineStr">
        <is>
          <t>MUNKEDAL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45921</v>
      </c>
      <c r="E121" s="1" t="n">
        <v>46293</v>
      </c>
      <c r="F121" t="inlineStr">
        <is>
          <t>VÄSTRA GÖTALANDS LÄN</t>
        </is>
      </c>
      <c r="G121" t="inlineStr">
        <is>
          <t>MUNKEDAL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46293</v>
      </c>
      <c r="F122" t="inlineStr">
        <is>
          <t>VÄSTRA GÖTALANDS LÄN</t>
        </is>
      </c>
      <c r="G122" t="inlineStr">
        <is>
          <t>MUNKEDAL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46293</v>
      </c>
      <c r="F123" t="inlineStr">
        <is>
          <t>VÄSTRA GÖTALANDS LÄN</t>
        </is>
      </c>
      <c r="G123" t="inlineStr">
        <is>
          <t>MUNKEDAL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45522</v>
      </c>
      <c r="E124" s="1" t="n">
        <v>46293</v>
      </c>
      <c r="F124" t="inlineStr">
        <is>
          <t>VÄSTRA GÖTALANDS LÄN</t>
        </is>
      </c>
      <c r="G124" t="inlineStr">
        <is>
          <t>MUNKEDAL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44897</v>
      </c>
      <c r="E125" s="1" t="n">
        <v>46293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46293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45029</v>
      </c>
      <c r="E127" s="1" t="n">
        <v>46293</v>
      </c>
      <c r="F127" t="inlineStr">
        <is>
          <t>VÄSTRA GÖTALANDS LÄN</t>
        </is>
      </c>
      <c r="G127" t="inlineStr">
        <is>
          <t>MUNKEDAL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46293</v>
      </c>
      <c r="F128" t="inlineStr">
        <is>
          <t>VÄSTRA GÖTALANDS LÄN</t>
        </is>
      </c>
      <c r="G128" t="inlineStr">
        <is>
          <t>MUNKEDAL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10775-2026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46293</v>
      </c>
      <c r="F129" t="inlineStr">
        <is>
          <t>VÄSTRA GÖTALANDS LÄN</t>
        </is>
      </c>
      <c r="G129" t="inlineStr">
        <is>
          <t>MUNKEDAL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44694</v>
      </c>
      <c r="E130" s="1" t="n">
        <v>46293</v>
      </c>
      <c r="F130" t="inlineStr">
        <is>
          <t>VÄSTRA GÖTALANDS LÄN</t>
        </is>
      </c>
      <c r="G130" t="inlineStr">
        <is>
          <t>MUNKEDAL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45166</v>
      </c>
      <c r="E131" s="1" t="n">
        <v>46293</v>
      </c>
      <c r="F131" t="inlineStr">
        <is>
          <t>VÄSTRA GÖTALANDS LÄN</t>
        </is>
      </c>
      <c r="G131" t="inlineStr">
        <is>
          <t>MUNKEDAL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56766-2023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46293</v>
      </c>
      <c r="F132" t="inlineStr">
        <is>
          <t>VÄSTRA GÖTALANDS LÄN</t>
        </is>
      </c>
      <c r="G132" t="inlineStr">
        <is>
          <t>MUNKEDAL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53424-2023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45229</v>
      </c>
      <c r="E133" s="1" t="n">
        <v>46293</v>
      </c>
      <c r="F133" t="inlineStr">
        <is>
          <t>VÄSTRA GÖTALANDS LÄN</t>
        </is>
      </c>
      <c r="G133" t="inlineStr">
        <is>
          <t>MUNKEDAL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46293</v>
      </c>
      <c r="F134" t="inlineStr">
        <is>
          <t>VÄSTRA GÖTALANDS LÄN</t>
        </is>
      </c>
      <c r="G134" t="inlineStr">
        <is>
          <t>MUNKEDAL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46293</v>
      </c>
      <c r="F135" t="inlineStr">
        <is>
          <t>VÄSTRA GÖTALANDS LÄN</t>
        </is>
      </c>
      <c r="G135" t="inlineStr">
        <is>
          <t>MUNKEDAL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46293</v>
      </c>
      <c r="F136" t="inlineStr">
        <is>
          <t>VÄSTRA GÖTALANDS LÄN</t>
        </is>
      </c>
      <c r="G136" t="inlineStr">
        <is>
          <t>MUNKEDAL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46293</v>
      </c>
      <c r="F137" t="inlineStr">
        <is>
          <t>VÄSTRA GÖTALANDS LÄN</t>
        </is>
      </c>
      <c r="G137" t="inlineStr">
        <is>
          <t>MUNKEDAL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45936</v>
      </c>
      <c r="E138" s="1" t="n">
        <v>46293</v>
      </c>
      <c r="F138" t="inlineStr">
        <is>
          <t>VÄSTRA GÖTALANDS LÄN</t>
        </is>
      </c>
      <c r="G138" t="inlineStr">
        <is>
          <t>MUNKEDAL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46293</v>
      </c>
      <c r="F139" t="inlineStr">
        <is>
          <t>VÄSTRA GÖTALANDS LÄN</t>
        </is>
      </c>
      <c r="G139" t="inlineStr">
        <is>
          <t>MUNKEDAL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57619-2024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45630</v>
      </c>
      <c r="E140" s="1" t="n">
        <v>46293</v>
      </c>
      <c r="F140" t="inlineStr">
        <is>
          <t>VÄSTRA GÖTALANDS LÄN</t>
        </is>
      </c>
      <c r="G140" t="inlineStr">
        <is>
          <t>MUNKEDAL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45630</v>
      </c>
      <c r="E141" s="1" t="n">
        <v>46293</v>
      </c>
      <c r="F141" t="inlineStr">
        <is>
          <t>VÄSTRA GÖTALANDS LÄN</t>
        </is>
      </c>
      <c r="G141" t="inlineStr">
        <is>
          <t>MUNKEDAL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46293</v>
      </c>
      <c r="F142" t="inlineStr">
        <is>
          <t>VÄSTRA GÖTALANDS LÄN</t>
        </is>
      </c>
      <c r="G142" t="inlineStr">
        <is>
          <t>MUNKEDAL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46293</v>
      </c>
      <c r="F143" t="inlineStr">
        <is>
          <t>VÄSTRA GÖTALANDS LÄN</t>
        </is>
      </c>
      <c r="G143" t="inlineStr">
        <is>
          <t>MUNKEDAL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46293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44904</v>
      </c>
      <c r="E145" s="1" t="n">
        <v>46293</v>
      </c>
      <c r="F145" t="inlineStr">
        <is>
          <t>VÄSTRA GÖTALANDS LÄN</t>
        </is>
      </c>
      <c r="G145" t="inlineStr">
        <is>
          <t>MUNKEDAL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46293</v>
      </c>
      <c r="F146" t="inlineStr">
        <is>
          <t>VÄSTRA GÖTALANDS LÄN</t>
        </is>
      </c>
      <c r="G146" t="inlineStr">
        <is>
          <t>MUNKEDAL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46293</v>
      </c>
      <c r="F147" t="inlineStr">
        <is>
          <t>VÄSTRA GÖTALANDS LÄN</t>
        </is>
      </c>
      <c r="G147" t="inlineStr">
        <is>
          <t>MUNKEDAL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46293</v>
      </c>
      <c r="F148" t="inlineStr">
        <is>
          <t>VÄSTRA GÖTALANDS LÄN</t>
        </is>
      </c>
      <c r="G148" t="inlineStr">
        <is>
          <t>MUNKEDAL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46293</v>
      </c>
      <c r="F149" t="inlineStr">
        <is>
          <t>VÄSTRA GÖTALANDS LÄN</t>
        </is>
      </c>
      <c r="G149" t="inlineStr">
        <is>
          <t>MUNKEDAL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46293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Kyrkan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46293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46293</v>
      </c>
      <c r="F152" t="inlineStr">
        <is>
          <t>VÄSTRA GÖTALANDS LÄN</t>
        </is>
      </c>
      <c r="G152" t="inlineStr">
        <is>
          <t>MUNKEDAL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45557</v>
      </c>
      <c r="E153" s="1" t="n">
        <v>46293</v>
      </c>
      <c r="F153" t="inlineStr">
        <is>
          <t>VÄSTRA GÖTALANDS LÄN</t>
        </is>
      </c>
      <c r="G153" t="inlineStr">
        <is>
          <t>MUNKEDAL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45233</v>
      </c>
      <c r="E154" s="1" t="n">
        <v>46293</v>
      </c>
      <c r="F154" t="inlineStr">
        <is>
          <t>VÄSTRA GÖTALANDS LÄN</t>
        </is>
      </c>
      <c r="G154" t="inlineStr">
        <is>
          <t>MUNKEDAL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46293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46293</v>
      </c>
      <c r="F156" t="inlineStr">
        <is>
          <t>VÄSTRA GÖTALANDS LÄN</t>
        </is>
      </c>
      <c r="G156" t="inlineStr">
        <is>
          <t>MUNKEDAL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46293</v>
      </c>
      <c r="F157" t="inlineStr">
        <is>
          <t>VÄSTRA GÖTALANDS LÄN</t>
        </is>
      </c>
      <c r="G157" t="inlineStr">
        <is>
          <t>MUNKEDAL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46293</v>
      </c>
      <c r="F158" t="inlineStr">
        <is>
          <t>VÄSTRA GÖTALANDS LÄN</t>
        </is>
      </c>
      <c r="G158" t="inlineStr">
        <is>
          <t>MUNKEDAL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46293</v>
      </c>
      <c r="F159" t="inlineStr">
        <is>
          <t>VÄSTRA GÖTALANDS LÄN</t>
        </is>
      </c>
      <c r="G159" t="inlineStr">
        <is>
          <t>MUNKEDAL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46293</v>
      </c>
      <c r="F160" t="inlineStr">
        <is>
          <t>VÄSTRA GÖTALANDS LÄN</t>
        </is>
      </c>
      <c r="G160" t="inlineStr">
        <is>
          <t>MUNKEDAL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46293</v>
      </c>
      <c r="F161" t="inlineStr">
        <is>
          <t>VÄSTRA GÖTALANDS LÄN</t>
        </is>
      </c>
      <c r="G161" t="inlineStr">
        <is>
          <t>MUNKEDAL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46293</v>
      </c>
      <c r="F162" t="inlineStr">
        <is>
          <t>VÄSTRA GÖTALANDS LÄN</t>
        </is>
      </c>
      <c r="G162" t="inlineStr">
        <is>
          <t>MUNKEDAL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46293</v>
      </c>
      <c r="F163" t="inlineStr">
        <is>
          <t>VÄSTRA GÖTALANDS LÄN</t>
        </is>
      </c>
      <c r="G163" t="inlineStr">
        <is>
          <t>MUNKEDAL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46293</v>
      </c>
      <c r="F164" t="inlineStr">
        <is>
          <t>VÄSTRA GÖTALANDS LÄN</t>
        </is>
      </c>
      <c r="G164" t="inlineStr">
        <is>
          <t>MUNKEDAL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46293</v>
      </c>
      <c r="F165" t="inlineStr">
        <is>
          <t>VÄSTRA GÖTALANDS LÄN</t>
        </is>
      </c>
      <c r="G165" t="inlineStr">
        <is>
          <t>MUNKEDAL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44929</v>
      </c>
      <c r="E166" s="1" t="n">
        <v>46293</v>
      </c>
      <c r="F166" t="inlineStr">
        <is>
          <t>VÄSTRA GÖTALANDS LÄN</t>
        </is>
      </c>
      <c r="G166" t="inlineStr">
        <is>
          <t>MUNKEDAL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46293</v>
      </c>
      <c r="F167" t="inlineStr">
        <is>
          <t>VÄSTRA GÖTALANDS LÄN</t>
        </is>
      </c>
      <c r="G167" t="inlineStr">
        <is>
          <t>MUNKEDAL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46293</v>
      </c>
      <c r="F168" t="inlineStr">
        <is>
          <t>VÄSTRA GÖTALANDS LÄN</t>
        </is>
      </c>
      <c r="G168" t="inlineStr">
        <is>
          <t>MUNKEDAL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46293</v>
      </c>
      <c r="F169" t="inlineStr">
        <is>
          <t>VÄSTRA GÖTALANDS LÄN</t>
        </is>
      </c>
      <c r="G169" t="inlineStr">
        <is>
          <t>MUNKEDAL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46293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46293</v>
      </c>
      <c r="F171" t="inlineStr">
        <is>
          <t>VÄSTRA GÖTALANDS LÄN</t>
        </is>
      </c>
      <c r="G171" t="inlineStr">
        <is>
          <t>MUNKEDAL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46131</v>
      </c>
      <c r="E172" s="1" t="n">
        <v>46293</v>
      </c>
      <c r="F172" t="inlineStr">
        <is>
          <t>VÄSTRA GÖTALANDS LÄN</t>
        </is>
      </c>
      <c r="G172" t="inlineStr">
        <is>
          <t>MUNKEDAL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46293</v>
      </c>
      <c r="F173" t="inlineStr">
        <is>
          <t>VÄSTRA GÖTALANDS LÄN</t>
        </is>
      </c>
      <c r="G173" t="inlineStr">
        <is>
          <t>MUNKEDAL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46293</v>
      </c>
      <c r="F174" t="inlineStr">
        <is>
          <t>VÄSTRA GÖTALANDS LÄN</t>
        </is>
      </c>
      <c r="G174" t="inlineStr">
        <is>
          <t>MUNKEDAL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46293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Kommuner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46293</v>
      </c>
      <c r="F176" t="inlineStr">
        <is>
          <t>VÄSTRA GÖTALANDS LÄN</t>
        </is>
      </c>
      <c r="G176" t="inlineStr">
        <is>
          <t>MUNKEDAL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45640</v>
      </c>
      <c r="E177" s="1" t="n">
        <v>46293</v>
      </c>
      <c r="F177" t="inlineStr">
        <is>
          <t>VÄSTRA GÖTALANDS LÄN</t>
        </is>
      </c>
      <c r="G177" t="inlineStr">
        <is>
          <t>MUNKEDAL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60231-2024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45640</v>
      </c>
      <c r="E178" s="1" t="n">
        <v>46293</v>
      </c>
      <c r="F178" t="inlineStr">
        <is>
          <t>VÄSTRA GÖTALANDS LÄN</t>
        </is>
      </c>
      <c r="G178" t="inlineStr">
        <is>
          <t>MUNKEDAL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46293</v>
      </c>
      <c r="F179" t="inlineStr">
        <is>
          <t>VÄSTRA GÖTALANDS LÄN</t>
        </is>
      </c>
      <c r="G179" t="inlineStr">
        <is>
          <t>MUNKEDAL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44608</v>
      </c>
      <c r="E180" s="1" t="n">
        <v>46293</v>
      </c>
      <c r="F180" t="inlineStr">
        <is>
          <t>VÄSTRA GÖTALANDS LÄN</t>
        </is>
      </c>
      <c r="G180" t="inlineStr">
        <is>
          <t>MUNKEDAL</t>
        </is>
      </c>
      <c r="I180" t="n">
        <v>15.4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46293</v>
      </c>
      <c r="F181" t="inlineStr">
        <is>
          <t>VÄSTRA GÖTALANDS LÄN</t>
        </is>
      </c>
      <c r="G181" t="inlineStr">
        <is>
          <t>MUNKEDAL</t>
        </is>
      </c>
      <c r="I181" t="n">
        <v>16.3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46293</v>
      </c>
      <c r="F182" t="inlineStr">
        <is>
          <t>VÄSTRA GÖTALANDS LÄN</t>
        </is>
      </c>
      <c r="G182" t="inlineStr">
        <is>
          <t>MUNKEDAL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46293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18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46293</v>
      </c>
      <c r="F184" t="inlineStr">
        <is>
          <t>VÄSTRA GÖTALANDS LÄN</t>
        </is>
      </c>
      <c r="G184" t="inlineStr">
        <is>
          <t>MUNKEDAL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46293</v>
      </c>
      <c r="F185" t="inlineStr">
        <is>
          <t>VÄSTRA GÖTALANDS LÄN</t>
        </is>
      </c>
      <c r="G185" t="inlineStr">
        <is>
          <t>MUNKEDAL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46293</v>
      </c>
      <c r="F186" t="inlineStr">
        <is>
          <t>VÄSTRA GÖTALANDS LÄN</t>
        </is>
      </c>
      <c r="G186" t="inlineStr">
        <is>
          <t>MUNKEDAL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28667-2022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46293</v>
      </c>
      <c r="F187" t="inlineStr">
        <is>
          <t>VÄSTRA GÖTALANDS LÄN</t>
        </is>
      </c>
      <c r="G187" t="inlineStr">
        <is>
          <t>MUNKEDAL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46293</v>
      </c>
      <c r="F188" t="inlineStr">
        <is>
          <t>VÄSTRA GÖTALANDS LÄN</t>
        </is>
      </c>
      <c r="G188" t="inlineStr">
        <is>
          <t>MUNKEDAL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46293</v>
      </c>
      <c r="F189" t="inlineStr">
        <is>
          <t>VÄSTRA GÖTALANDS LÄN</t>
        </is>
      </c>
      <c r="G189" t="inlineStr">
        <is>
          <t>MUNKEDAL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13303-2023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45005</v>
      </c>
      <c r="E190" s="1" t="n">
        <v>46293</v>
      </c>
      <c r="F190" t="inlineStr">
        <is>
          <t>VÄSTRA GÖTALANDS LÄN</t>
        </is>
      </c>
      <c r="G190" t="inlineStr">
        <is>
          <t>MUNKEDAL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46293</v>
      </c>
      <c r="F191" t="inlineStr">
        <is>
          <t>VÄSTRA GÖTALANDS LÄN</t>
        </is>
      </c>
      <c r="G191" t="inlineStr">
        <is>
          <t>MUNKEDAL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45874</v>
      </c>
      <c r="E192" s="1" t="n">
        <v>46293</v>
      </c>
      <c r="F192" t="inlineStr">
        <is>
          <t>VÄSTRA GÖTALANDS LÄN</t>
        </is>
      </c>
      <c r="G192" t="inlineStr">
        <is>
          <t>MUNKEDAL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46293</v>
      </c>
      <c r="F193" t="inlineStr">
        <is>
          <t>VÄSTRA GÖTALANDS LÄN</t>
        </is>
      </c>
      <c r="G193" t="inlineStr">
        <is>
          <t>MUNKEDAL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46293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Övriga Aktiebolag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45488</v>
      </c>
      <c r="E195" s="1" t="n">
        <v>46293</v>
      </c>
      <c r="F195" t="inlineStr">
        <is>
          <t>VÄSTRA GÖTALANDS LÄN</t>
        </is>
      </c>
      <c r="G195" t="inlineStr">
        <is>
          <t>MUNKEDAL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46293</v>
      </c>
      <c r="F196" t="inlineStr">
        <is>
          <t>VÄSTRA GÖTALANDS LÄN</t>
        </is>
      </c>
      <c r="G196" t="inlineStr">
        <is>
          <t>MUNKEDAL</t>
        </is>
      </c>
      <c r="I196" t="n">
        <v>17.5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46293</v>
      </c>
      <c r="F197" t="inlineStr">
        <is>
          <t>VÄSTRA GÖTALANDS LÄN</t>
        </is>
      </c>
      <c r="G197" t="inlineStr">
        <is>
          <t>MUNKEDAL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46293</v>
      </c>
      <c r="F198" t="inlineStr">
        <is>
          <t>VÄSTRA GÖTALANDS LÄN</t>
        </is>
      </c>
      <c r="G198" t="inlineStr">
        <is>
          <t>MUNKEDAL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46293</v>
      </c>
      <c r="F199" t="inlineStr">
        <is>
          <t>VÄSTRA GÖTALANDS LÄN</t>
        </is>
      </c>
      <c r="G199" t="inlineStr">
        <is>
          <t>MUNKEDAL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46293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19.1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46293</v>
      </c>
      <c r="F201" t="inlineStr">
        <is>
          <t>VÄSTRA GÖTALANDS LÄN</t>
        </is>
      </c>
      <c r="G201" t="inlineStr">
        <is>
          <t>MUNKEDAL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45388</v>
      </c>
      <c r="E202" s="1" t="n">
        <v>46293</v>
      </c>
      <c r="F202" t="inlineStr">
        <is>
          <t>VÄSTRA GÖTALANDS LÄN</t>
        </is>
      </c>
      <c r="G202" t="inlineStr">
        <is>
          <t>MUNKEDAL</t>
        </is>
      </c>
      <c r="I202" t="n">
        <v>9.6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46293</v>
      </c>
      <c r="F203" t="inlineStr">
        <is>
          <t>VÄSTRA GÖTALANDS LÄN</t>
        </is>
      </c>
      <c r="G203" t="inlineStr">
        <is>
          <t>MUNKEDAL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46007</v>
      </c>
      <c r="E204" s="1" t="n">
        <v>46293</v>
      </c>
      <c r="F204" t="inlineStr">
        <is>
          <t>VÄSTRA GÖTALANDS LÄN</t>
        </is>
      </c>
      <c r="G204" t="inlineStr">
        <is>
          <t>MUNKEDAL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46293</v>
      </c>
      <c r="F205" t="inlineStr">
        <is>
          <t>VÄSTRA GÖTALANDS LÄN</t>
        </is>
      </c>
      <c r="G205" t="inlineStr">
        <is>
          <t>MUNKEDAL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46293</v>
      </c>
      <c r="F206" t="inlineStr">
        <is>
          <t>VÄSTRA GÖTALANDS LÄN</t>
        </is>
      </c>
      <c r="G206" t="inlineStr">
        <is>
          <t>MUNKEDAL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45678</v>
      </c>
      <c r="E207" s="1" t="n">
        <v>46293</v>
      </c>
      <c r="F207" t="inlineStr">
        <is>
          <t>VÄSTRA GÖTALANDS LÄN</t>
        </is>
      </c>
      <c r="G207" t="inlineStr">
        <is>
          <t>MUNKEDAL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64132-2025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46013</v>
      </c>
      <c r="E208" s="1" t="n">
        <v>46293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46293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46293</v>
      </c>
      <c r="F210" t="inlineStr">
        <is>
          <t>VÄSTRA GÖTALANDS LÄN</t>
        </is>
      </c>
      <c r="G210" t="inlineStr">
        <is>
          <t>MUNKEDAL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46293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45072</v>
      </c>
      <c r="E212" s="1" t="n">
        <v>46293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Kommuner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46293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46293</v>
      </c>
      <c r="F214" t="inlineStr">
        <is>
          <t>VÄSTRA GÖTALANDS LÄN</t>
        </is>
      </c>
      <c r="G214" t="inlineStr">
        <is>
          <t>MUNKEDAL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46293</v>
      </c>
      <c r="F215" t="inlineStr">
        <is>
          <t>VÄSTRA GÖTALANDS LÄN</t>
        </is>
      </c>
      <c r="G215" t="inlineStr">
        <is>
          <t>MUNKEDAL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45540</v>
      </c>
      <c r="E216" s="1" t="n">
        <v>46293</v>
      </c>
      <c r="F216" t="inlineStr">
        <is>
          <t>VÄSTRA GÖTALANDS LÄN</t>
        </is>
      </c>
      <c r="G216" t="inlineStr">
        <is>
          <t>MUNKEDAL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46293</v>
      </c>
      <c r="F217" t="inlineStr">
        <is>
          <t>VÄSTRA GÖTALANDS LÄN</t>
        </is>
      </c>
      <c r="G217" t="inlineStr">
        <is>
          <t>MUNKEDAL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46293</v>
      </c>
      <c r="F218" t="inlineStr">
        <is>
          <t>VÄSTRA GÖTALANDS LÄN</t>
        </is>
      </c>
      <c r="G218" t="inlineStr">
        <is>
          <t>MUNKEDAL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46293</v>
      </c>
      <c r="F219" t="inlineStr">
        <is>
          <t>VÄSTRA GÖTALANDS LÄN</t>
        </is>
      </c>
      <c r="G219" t="inlineStr">
        <is>
          <t>MUNKEDAL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46293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46293</v>
      </c>
      <c r="F221" t="inlineStr">
        <is>
          <t>VÄSTRA GÖTALANDS LÄN</t>
        </is>
      </c>
      <c r="G221" t="inlineStr">
        <is>
          <t>MUNKEDAL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46293</v>
      </c>
      <c r="F222" t="inlineStr">
        <is>
          <t>VÄSTRA GÖTALANDS LÄN</t>
        </is>
      </c>
      <c r="G222" t="inlineStr">
        <is>
          <t>MUNKEDAL</t>
        </is>
      </c>
      <c r="I222" t="n">
        <v>14.1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20879-2026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46293</v>
      </c>
      <c r="F223" t="inlineStr">
        <is>
          <t>VÄSTRA GÖTALANDS LÄN</t>
        </is>
      </c>
      <c r="G223" t="inlineStr">
        <is>
          <t>MUNKEDAL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46293</v>
      </c>
      <c r="F224" t="inlineStr">
        <is>
          <t>VÄSTRA GÖTALANDS LÄN</t>
        </is>
      </c>
      <c r="G224" t="inlineStr">
        <is>
          <t>MUNKEDAL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45796</v>
      </c>
      <c r="E225" s="1" t="n">
        <v>46293</v>
      </c>
      <c r="F225" t="inlineStr">
        <is>
          <t>VÄSTRA GÖTALANDS LÄN</t>
        </is>
      </c>
      <c r="G225" t="inlineStr">
        <is>
          <t>MUNKEDAL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7554-2024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45348</v>
      </c>
      <c r="E226" s="1" t="n">
        <v>46293</v>
      </c>
      <c r="F226" t="inlineStr">
        <is>
          <t>VÄSTRA GÖTALANDS LÄN</t>
        </is>
      </c>
      <c r="G226" t="inlineStr">
        <is>
          <t>MUNKEDAL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45072</v>
      </c>
      <c r="E227" s="1" t="n">
        <v>46293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Kommuner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46293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Naturvårdsverket</t>
        </is>
      </c>
      <c r="I228" t="n">
        <v>15.8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45769</v>
      </c>
      <c r="E229" s="1" t="n">
        <v>46293</v>
      </c>
      <c r="F229" t="inlineStr">
        <is>
          <t>VÄSTRA GÖTALANDS LÄN</t>
        </is>
      </c>
      <c r="G229" t="inlineStr">
        <is>
          <t>MUNKEDAL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45111</v>
      </c>
      <c r="E230" s="1" t="n">
        <v>46293</v>
      </c>
      <c r="F230" t="inlineStr">
        <is>
          <t>VÄSTRA GÖTALANDS LÄN</t>
        </is>
      </c>
      <c r="G230" t="inlineStr">
        <is>
          <t>MUNKEDAL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67233-2021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44523</v>
      </c>
      <c r="E231" s="1" t="n">
        <v>46293</v>
      </c>
      <c r="F231" t="inlineStr">
        <is>
          <t>VÄSTRA GÖTALANDS LÄN</t>
        </is>
      </c>
      <c r="G231" t="inlineStr">
        <is>
          <t>MUNKEDAL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46293</v>
      </c>
      <c r="F232" t="inlineStr">
        <is>
          <t>VÄSTRA GÖTALANDS LÄN</t>
        </is>
      </c>
      <c r="G232" t="inlineStr">
        <is>
          <t>MUNKEDAL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45313</v>
      </c>
      <c r="E233" s="1" t="n">
        <v>46293</v>
      </c>
      <c r="F233" t="inlineStr">
        <is>
          <t>VÄSTRA GÖTALANDS LÄN</t>
        </is>
      </c>
      <c r="G233" t="inlineStr">
        <is>
          <t>MUNKEDAL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46293</v>
      </c>
      <c r="F234" t="inlineStr">
        <is>
          <t>VÄSTRA GÖTALANDS LÄN</t>
        </is>
      </c>
      <c r="G234" t="inlineStr">
        <is>
          <t>MUNKEDAL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44467</v>
      </c>
      <c r="E235" s="1" t="n">
        <v>46293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46293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45296</v>
      </c>
      <c r="E237" s="1" t="n">
        <v>46293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Kyrkan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46293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46160</v>
      </c>
      <c r="E239" s="1" t="n">
        <v>46293</v>
      </c>
      <c r="F239" t="inlineStr">
        <is>
          <t>VÄSTRA GÖTALANDS LÄN</t>
        </is>
      </c>
      <c r="G239" t="inlineStr">
        <is>
          <t>MUNKEDAL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46293</v>
      </c>
      <c r="F240" t="inlineStr">
        <is>
          <t>VÄSTRA GÖTALANDS LÄN</t>
        </is>
      </c>
      <c r="G240" t="inlineStr">
        <is>
          <t>MUNKEDAL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46198</v>
      </c>
      <c r="E241" s="1" t="n">
        <v>46293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Övriga statliga verk och myndigheter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46293</v>
      </c>
      <c r="F242" t="inlineStr">
        <is>
          <t>VÄSTRA GÖTALANDS LÄN</t>
        </is>
      </c>
      <c r="G242" t="inlineStr">
        <is>
          <t>MUNKEDAL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34083-2025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46293</v>
      </c>
      <c r="F243" t="inlineStr">
        <is>
          <t>VÄSTRA GÖTALANDS LÄN</t>
        </is>
      </c>
      <c r="G243" t="inlineStr">
        <is>
          <t>MUNKEDAL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46293</v>
      </c>
      <c r="F244" t="inlineStr">
        <is>
          <t>VÄSTRA GÖTALANDS LÄN</t>
        </is>
      </c>
      <c r="G244" t="inlineStr">
        <is>
          <t>MUNKEDAL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45847</v>
      </c>
      <c r="E245" s="1" t="n">
        <v>46293</v>
      </c>
      <c r="F245" t="inlineStr">
        <is>
          <t>VÄSTRA GÖTALANDS LÄN</t>
        </is>
      </c>
      <c r="G245" t="inlineStr">
        <is>
          <t>MUNKEDAL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46167</v>
      </c>
      <c r="E246" s="1" t="n">
        <v>46293</v>
      </c>
      <c r="F246" t="inlineStr">
        <is>
          <t>VÄSTRA GÖTALANDS LÄN</t>
        </is>
      </c>
      <c r="G246" t="inlineStr">
        <is>
          <t>MUNKEDAL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46293</v>
      </c>
      <c r="F247" t="inlineStr">
        <is>
          <t>VÄSTRA GÖTALANDS LÄN</t>
        </is>
      </c>
      <c r="G247" t="inlineStr">
        <is>
          <t>MUNKEDAL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23872-2026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46293</v>
      </c>
      <c r="F248" t="inlineStr">
        <is>
          <t>VÄSTRA GÖTALANDS LÄN</t>
        </is>
      </c>
      <c r="G248" t="inlineStr">
        <is>
          <t>MUNKEDAL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45174</v>
      </c>
      <c r="E249" s="1" t="n">
        <v>46293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Kyrkan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46293</v>
      </c>
      <c r="F250" t="inlineStr">
        <is>
          <t>VÄSTRA GÖTALANDS LÄN</t>
        </is>
      </c>
      <c r="G250" t="inlineStr">
        <is>
          <t>MUNKEDAL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46293</v>
      </c>
      <c r="F251" t="inlineStr">
        <is>
          <t>VÄSTRA GÖTALANDS LÄN</t>
        </is>
      </c>
      <c r="G251" t="inlineStr">
        <is>
          <t>MUNKEDAL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46293</v>
      </c>
      <c r="F252" t="inlineStr">
        <is>
          <t>VÄSTRA GÖTALANDS LÄN</t>
        </is>
      </c>
      <c r="G252" t="inlineStr">
        <is>
          <t>MUNKEDAL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45755</v>
      </c>
      <c r="E253" s="1" t="n">
        <v>46293</v>
      </c>
      <c r="F253" t="inlineStr">
        <is>
          <t>VÄSTRA GÖTALANDS LÄN</t>
        </is>
      </c>
      <c r="G253" t="inlineStr">
        <is>
          <t>MUNKEDAL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64879-2023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45282</v>
      </c>
      <c r="E254" s="1" t="n">
        <v>46293</v>
      </c>
      <c r="F254" t="inlineStr">
        <is>
          <t>VÄSTRA GÖTALANDS LÄN</t>
        </is>
      </c>
      <c r="G254" t="inlineStr">
        <is>
          <t>MUNKEDAL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44579</v>
      </c>
      <c r="E255" s="1" t="n">
        <v>46293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Kyrkan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46293</v>
      </c>
      <c r="F256" t="inlineStr">
        <is>
          <t>VÄSTRA GÖTALANDS LÄN</t>
        </is>
      </c>
      <c r="G256" t="inlineStr">
        <is>
          <t>MUNKEDAL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35685-2024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46293</v>
      </c>
      <c r="F257" t="inlineStr">
        <is>
          <t>VÄSTRA GÖTALANDS LÄN</t>
        </is>
      </c>
      <c r="G257" t="inlineStr">
        <is>
          <t>MUNKEDAL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45261</v>
      </c>
      <c r="E258" s="1" t="n">
        <v>46293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38164-2022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46293</v>
      </c>
      <c r="F259" t="inlineStr">
        <is>
          <t>VÄSTRA GÖTALANDS LÄN</t>
        </is>
      </c>
      <c r="G259" t="inlineStr">
        <is>
          <t>MUNKEDAL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56789-2021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44481</v>
      </c>
      <c r="E260" s="1" t="n">
        <v>46293</v>
      </c>
      <c r="F260" t="inlineStr">
        <is>
          <t>VÄSTRA GÖTALANDS LÄN</t>
        </is>
      </c>
      <c r="G260" t="inlineStr">
        <is>
          <t>MUNKEDAL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45747</v>
      </c>
      <c r="E261" s="1" t="n">
        <v>46293</v>
      </c>
      <c r="F261" t="inlineStr">
        <is>
          <t>VÄSTRA GÖTALANDS LÄN</t>
        </is>
      </c>
      <c r="G261" t="inlineStr">
        <is>
          <t>MUNKEDAL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59150-2022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46293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Kyrkan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33194-2023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46293</v>
      </c>
      <c r="F263" t="inlineStr">
        <is>
          <t>VÄSTRA GÖTALANDS LÄN</t>
        </is>
      </c>
      <c r="G263" t="inlineStr">
        <is>
          <t>MUNKEDAL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53514-2024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46293</v>
      </c>
      <c r="F264" t="inlineStr">
        <is>
          <t>VÄSTRA GÖTALANDS LÄN</t>
        </is>
      </c>
      <c r="G264" t="inlineStr">
        <is>
          <t>MUNKEDAL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46293</v>
      </c>
      <c r="F265" t="inlineStr">
        <is>
          <t>VÄSTRA GÖTALANDS LÄN</t>
        </is>
      </c>
      <c r="G265" t="inlineStr">
        <is>
          <t>MUNKEDAL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46293</v>
      </c>
      <c r="F266" t="inlineStr">
        <is>
          <t>VÄSTRA GÖTALANDS LÄN</t>
        </is>
      </c>
      <c r="G266" t="inlineStr">
        <is>
          <t>MUNKEDAL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45351</v>
      </c>
      <c r="E267" s="1" t="n">
        <v>46293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58066-2021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44487</v>
      </c>
      <c r="E268" s="1" t="n">
        <v>46293</v>
      </c>
      <c r="F268" t="inlineStr">
        <is>
          <t>VÄSTRA GÖTALANDS LÄN</t>
        </is>
      </c>
      <c r="G268" t="inlineStr">
        <is>
          <t>MUNKEDAL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45640</v>
      </c>
      <c r="E269" s="1" t="n">
        <v>46293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28995-2022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44749</v>
      </c>
      <c r="E270" s="1" t="n">
        <v>46293</v>
      </c>
      <c r="F270" t="inlineStr">
        <is>
          <t>VÄSTRA GÖTALANDS LÄN</t>
        </is>
      </c>
      <c r="G270" t="inlineStr">
        <is>
          <t>MUNKEDAL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44755</v>
      </c>
      <c r="E271" s="1" t="n">
        <v>46293</v>
      </c>
      <c r="F271" t="inlineStr">
        <is>
          <t>VÄSTRA GÖTALANDS LÄN</t>
        </is>
      </c>
      <c r="G271" t="inlineStr">
        <is>
          <t>MUNKEDAL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45165-2024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45575</v>
      </c>
      <c r="E272" s="1" t="n">
        <v>46293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Naturvårdsverket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45484</v>
      </c>
      <c r="E273" s="1" t="n">
        <v>46293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45709</v>
      </c>
      <c r="E274" s="1" t="n">
        <v>46293</v>
      </c>
      <c r="F274" t="inlineStr">
        <is>
          <t>VÄSTRA GÖTALANDS LÄN</t>
        </is>
      </c>
      <c r="G274" t="inlineStr">
        <is>
          <t>MUNKEDAL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44478-2023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46293</v>
      </c>
      <c r="F275" t="inlineStr">
        <is>
          <t>VÄSTRA GÖTALANDS LÄN</t>
        </is>
      </c>
      <c r="G275" t="inlineStr">
        <is>
          <t>MUNKEDAL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46293</v>
      </c>
      <c r="F276" t="inlineStr">
        <is>
          <t>VÄSTRA GÖTALANDS LÄN</t>
        </is>
      </c>
      <c r="G276" t="inlineStr">
        <is>
          <t>MUNKEDAL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45596</v>
      </c>
      <c r="E277" s="1" t="n">
        <v>46293</v>
      </c>
      <c r="F277" t="inlineStr">
        <is>
          <t>VÄSTRA GÖTALANDS LÄN</t>
        </is>
      </c>
      <c r="G277" t="inlineStr">
        <is>
          <t>MUNKEDAL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46293</v>
      </c>
      <c r="F278" t="inlineStr">
        <is>
          <t>VÄSTRA GÖTALANDS LÄN</t>
        </is>
      </c>
      <c r="G278" t="inlineStr">
        <is>
          <t>MUNKEDAL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41716-2024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45560</v>
      </c>
      <c r="E279" s="1" t="n">
        <v>46293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46293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28692-2024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45478</v>
      </c>
      <c r="E281" s="1" t="n">
        <v>46293</v>
      </c>
      <c r="F281" t="inlineStr">
        <is>
          <t>VÄSTRA GÖTALANDS LÄN</t>
        </is>
      </c>
      <c r="G281" t="inlineStr">
        <is>
          <t>MUNKEDAL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45881</v>
      </c>
      <c r="E282" s="1" t="n">
        <v>46293</v>
      </c>
      <c r="F282" t="inlineStr">
        <is>
          <t>VÄSTRA GÖTALANDS LÄN</t>
        </is>
      </c>
      <c r="G282" t="inlineStr">
        <is>
          <t>MUNKEDAL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29451-2026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46203</v>
      </c>
      <c r="E283" s="1" t="n">
        <v>46293</v>
      </c>
      <c r="F283" t="inlineStr">
        <is>
          <t>VÄSTRA GÖTALANDS LÄN</t>
        </is>
      </c>
      <c r="G283" t="inlineStr">
        <is>
          <t>MUNKEDAL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44593</v>
      </c>
      <c r="E284" s="1" t="n">
        <v>46293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46293</v>
      </c>
      <c r="F285" t="inlineStr">
        <is>
          <t>VÄSTRA GÖTALANDS LÄN</t>
        </is>
      </c>
      <c r="G285" t="inlineStr">
        <is>
          <t>MUNKEDAL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45325</v>
      </c>
      <c r="E286" s="1" t="n">
        <v>46293</v>
      </c>
      <c r="F286" t="inlineStr">
        <is>
          <t>VÄSTRA GÖTALANDS LÄN</t>
        </is>
      </c>
      <c r="G286" t="inlineStr">
        <is>
          <t>MUNKEDAL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46293</v>
      </c>
      <c r="F287" t="inlineStr">
        <is>
          <t>VÄSTRA GÖTALANDS LÄN</t>
        </is>
      </c>
      <c r="G287" t="inlineStr">
        <is>
          <t>MUNKEDAL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45736</v>
      </c>
      <c r="E288" s="1" t="n">
        <v>46293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46293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46209</v>
      </c>
      <c r="E290" s="1" t="n">
        <v>46293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46293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31167-2026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46293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34288-2026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46253</v>
      </c>
      <c r="E293" s="1" t="n">
        <v>46293</v>
      </c>
      <c r="F293" t="inlineStr">
        <is>
          <t>VÄSTRA GÖTALANDS LÄN</t>
        </is>
      </c>
      <c r="G293" t="inlineStr">
        <is>
          <t>MUNKEDAL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46253</v>
      </c>
      <c r="E294" s="1" t="n">
        <v>46293</v>
      </c>
      <c r="F294" t="inlineStr">
        <is>
          <t>VÄSTRA GÖTALANDS LÄN</t>
        </is>
      </c>
      <c r="G294" t="inlineStr">
        <is>
          <t>MUNKEDAL</t>
        </is>
      </c>
      <c r="I294" t="n">
        <v>11.6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46293</v>
      </c>
      <c r="F295" t="inlineStr">
        <is>
          <t>VÄSTRA GÖTALANDS LÄN</t>
        </is>
      </c>
      <c r="G295" t="inlineStr">
        <is>
          <t>MUNKEDAL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46293</v>
      </c>
      <c r="F296" t="inlineStr">
        <is>
          <t>VÄSTRA GÖTALANDS LÄN</t>
        </is>
      </c>
      <c r="G296" t="inlineStr">
        <is>
          <t>MUNKEDAL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46293</v>
      </c>
      <c r="F297" t="inlineStr">
        <is>
          <t>VÄSTRA GÖTALANDS LÄN</t>
        </is>
      </c>
      <c r="G297" t="inlineStr">
        <is>
          <t>MUNKEDAL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49912-2023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45214</v>
      </c>
      <c r="E298" s="1" t="n">
        <v>46293</v>
      </c>
      <c r="F298" t="inlineStr">
        <is>
          <t>VÄSTRA GÖTALANDS LÄN</t>
        </is>
      </c>
      <c r="G298" t="inlineStr">
        <is>
          <t>MUNKEDAL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46293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Kyrkan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46253</v>
      </c>
      <c r="E300" s="1" t="n">
        <v>46293</v>
      </c>
      <c r="F300" t="inlineStr">
        <is>
          <t>VÄSTRA GÖTALANDS LÄN</t>
        </is>
      </c>
      <c r="G300" t="inlineStr">
        <is>
          <t>MUNKEDAL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46253</v>
      </c>
      <c r="E301" s="1" t="n">
        <v>46293</v>
      </c>
      <c r="F301" t="inlineStr">
        <is>
          <t>VÄSTRA GÖTALANDS LÄN</t>
        </is>
      </c>
      <c r="G301" t="inlineStr">
        <is>
          <t>MUNKEDAL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46293</v>
      </c>
      <c r="F302" t="inlineStr">
        <is>
          <t>VÄSTRA GÖTALANDS LÄN</t>
        </is>
      </c>
      <c r="G302" t="inlineStr">
        <is>
          <t>MUNKEDAL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46293</v>
      </c>
      <c r="F303" t="inlineStr">
        <is>
          <t>VÄSTRA GÖTALANDS LÄN</t>
        </is>
      </c>
      <c r="G303" t="inlineStr">
        <is>
          <t>MUNKEDAL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45138</v>
      </c>
      <c r="E304" s="1" t="n">
        <v>46293</v>
      </c>
      <c r="F304" t="inlineStr">
        <is>
          <t>VÄSTRA GÖTALANDS LÄN</t>
        </is>
      </c>
      <c r="G304" t="inlineStr">
        <is>
          <t>MUNKEDAL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18278-2025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45762</v>
      </c>
      <c r="E305" s="1" t="n">
        <v>46293</v>
      </c>
      <c r="F305" t="inlineStr">
        <is>
          <t>VÄSTRA GÖTALANDS LÄN</t>
        </is>
      </c>
      <c r="G305" t="inlineStr">
        <is>
          <t>MUNKEDAL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46293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46217</v>
      </c>
      <c r="E307" s="1" t="n">
        <v>46293</v>
      </c>
      <c r="F307" t="inlineStr">
        <is>
          <t>VÄSTRA GÖTALANDS LÄN</t>
        </is>
      </c>
      <c r="G307" t="inlineStr">
        <is>
          <t>MUNKEDAL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46217</v>
      </c>
      <c r="E308" s="1" t="n">
        <v>46293</v>
      </c>
      <c r="F308" t="inlineStr">
        <is>
          <t>VÄSTRA GÖTALANDS LÄN</t>
        </is>
      </c>
      <c r="G308" t="inlineStr">
        <is>
          <t>MUNKEDAL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46293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16105-2025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45750</v>
      </c>
      <c r="E310" s="1" t="n">
        <v>46293</v>
      </c>
      <c r="F310" t="inlineStr">
        <is>
          <t>VÄSTRA GÖTALANDS LÄN</t>
        </is>
      </c>
      <c r="G310" t="inlineStr">
        <is>
          <t>MUNKEDAL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45314</v>
      </c>
      <c r="E311" s="1" t="n">
        <v>46293</v>
      </c>
      <c r="F311" t="inlineStr">
        <is>
          <t>VÄSTRA GÖTALANDS LÄN</t>
        </is>
      </c>
      <c r="G311" t="inlineStr">
        <is>
          <t>MUNKEDAL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45337</v>
      </c>
      <c r="E312" s="1" t="n">
        <v>46293</v>
      </c>
      <c r="F312" t="inlineStr">
        <is>
          <t>VÄSTRA GÖTALANDS LÄN</t>
        </is>
      </c>
      <c r="G312" t="inlineStr">
        <is>
          <t>MUNKEDAL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22857-2022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44715</v>
      </c>
      <c r="E313" s="1" t="n">
        <v>46293</v>
      </c>
      <c r="F313" t="inlineStr">
        <is>
          <t>VÄSTRA GÖTALANDS LÄN</t>
        </is>
      </c>
      <c r="G313" t="inlineStr">
        <is>
          <t>MUNKEDAL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45293</v>
      </c>
      <c r="E314" s="1" t="n">
        <v>46293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37941-2023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46293</v>
      </c>
      <c r="F315" t="inlineStr">
        <is>
          <t>VÄSTRA GÖTALANDS LÄN</t>
        </is>
      </c>
      <c r="G315" t="inlineStr">
        <is>
          <t>MUNKEDAL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37327-2022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46293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25.2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45215</v>
      </c>
      <c r="E317" s="1" t="n">
        <v>46293</v>
      </c>
      <c r="F317" t="inlineStr">
        <is>
          <t>VÄSTRA GÖTALANDS LÄN</t>
        </is>
      </c>
      <c r="G317" t="inlineStr">
        <is>
          <t>MUNKEDAL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61885-2023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46293</v>
      </c>
      <c r="F318" t="inlineStr">
        <is>
          <t>VÄSTRA GÖTALANDS LÄN</t>
        </is>
      </c>
      <c r="G318" t="inlineStr">
        <is>
          <t>MUNKEDAL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46267</v>
      </c>
      <c r="E319" s="1" t="n">
        <v>46293</v>
      </c>
      <c r="F319" t="inlineStr">
        <is>
          <t>VÄSTRA GÖTALANDS LÄN</t>
        </is>
      </c>
      <c r="G319" t="inlineStr">
        <is>
          <t>MUNKEDAL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44704</v>
      </c>
      <c r="E320" s="1" t="n">
        <v>46293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45293</v>
      </c>
      <c r="E321" s="1" t="n">
        <v>46293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46267</v>
      </c>
      <c r="E322" s="1" t="n">
        <v>46293</v>
      </c>
      <c r="F322" t="inlineStr">
        <is>
          <t>VÄSTRA GÖTALANDS LÄN</t>
        </is>
      </c>
      <c r="G322" t="inlineStr">
        <is>
          <t>MUNKEDAL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45296</v>
      </c>
      <c r="E323" s="1" t="n">
        <v>46293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Kyrkan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46272</v>
      </c>
      <c r="E324" s="1" t="n">
        <v>46293</v>
      </c>
      <c r="F324" t="inlineStr">
        <is>
          <t>VÄSTRA GÖTALANDS LÄN</t>
        </is>
      </c>
      <c r="G324" t="inlineStr">
        <is>
          <t>MUNKEDAL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46293</v>
      </c>
      <c r="F325" t="inlineStr">
        <is>
          <t>VÄSTRA GÖTALANDS LÄN</t>
        </is>
      </c>
      <c r="G325" t="inlineStr">
        <is>
          <t>MUNKEDAL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44866</v>
      </c>
      <c r="E326" s="1" t="n">
        <v>46293</v>
      </c>
      <c r="F326" t="inlineStr">
        <is>
          <t>VÄSTRA GÖTALANDS LÄN</t>
        </is>
      </c>
      <c r="G326" t="inlineStr">
        <is>
          <t>MUNKEDAL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46274</v>
      </c>
      <c r="E327" s="1" t="n">
        <v>46293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45470</v>
      </c>
      <c r="E328" s="1" t="n">
        <v>46293</v>
      </c>
      <c r="F328" t="inlineStr">
        <is>
          <t>VÄSTRA GÖTALANDS LÄN</t>
        </is>
      </c>
      <c r="G328" t="inlineStr">
        <is>
          <t>MUNKEDAL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46273</v>
      </c>
      <c r="E329" s="1" t="n">
        <v>46293</v>
      </c>
      <c r="F329" t="inlineStr">
        <is>
          <t>VÄSTRA GÖTALANDS LÄN</t>
        </is>
      </c>
      <c r="G329" t="inlineStr">
        <is>
          <t>MUNKEDAL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54955-2024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45619</v>
      </c>
      <c r="E330" s="1" t="n">
        <v>46293</v>
      </c>
      <c r="F330" t="inlineStr">
        <is>
          <t>VÄSTRA GÖTALANDS LÄN</t>
        </is>
      </c>
      <c r="G330" t="inlineStr">
        <is>
          <t>MUNKEDAL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46279</v>
      </c>
      <c r="E331" s="1" t="n">
        <v>46293</v>
      </c>
      <c r="F331" t="inlineStr">
        <is>
          <t>VÄSTRA GÖTALANDS LÄN</t>
        </is>
      </c>
      <c r="G331" t="inlineStr">
        <is>
          <t>MUNKEDAL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46293</v>
      </c>
      <c r="F332" t="inlineStr">
        <is>
          <t>VÄSTRA GÖTALANDS LÄN</t>
        </is>
      </c>
      <c r="G332" t="inlineStr">
        <is>
          <t>MUNKEDAL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46293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41521-2023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46293</v>
      </c>
      <c r="F334" t="inlineStr">
        <is>
          <t>VÄSTRA GÖTALANDS LÄN</t>
        </is>
      </c>
      <c r="G334" t="inlineStr">
        <is>
          <t>MUNKEDAL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46239</v>
      </c>
      <c r="E335" s="1" t="n">
        <v>46293</v>
      </c>
      <c r="F335" t="inlineStr">
        <is>
          <t>VÄSTRA GÖTALANDS LÄN</t>
        </is>
      </c>
      <c r="G335" t="inlineStr">
        <is>
          <t>MUNKEDAL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46286</v>
      </c>
      <c r="E336" s="1" t="n">
        <v>46293</v>
      </c>
      <c r="F336" t="inlineStr">
        <is>
          <t>VÄSTRA GÖTALANDS LÄN</t>
        </is>
      </c>
      <c r="G336" t="inlineStr">
        <is>
          <t>MUNKEDAL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46293</v>
      </c>
      <c r="F337" t="inlineStr">
        <is>
          <t>VÄSTRA GÖTALANDS LÄN</t>
        </is>
      </c>
      <c r="G337" t="inlineStr">
        <is>
          <t>MUNKEDAL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45322</v>
      </c>
      <c r="E338" s="1" t="n">
        <v>46293</v>
      </c>
      <c r="F338" t="inlineStr">
        <is>
          <t>VÄSTRA GÖTALANDS LÄN</t>
        </is>
      </c>
      <c r="G338" t="inlineStr">
        <is>
          <t>MUNKEDAL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45400</v>
      </c>
      <c r="E339" s="1" t="n">
        <v>46293</v>
      </c>
      <c r="F339" t="inlineStr">
        <is>
          <t>VÄSTRA GÖTALANDS LÄN</t>
        </is>
      </c>
      <c r="G339" t="inlineStr">
        <is>
          <t>MUNKEDAL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46286</v>
      </c>
      <c r="E340" s="1" t="n">
        <v>46293</v>
      </c>
      <c r="F340" t="inlineStr">
        <is>
          <t>VÄSTRA GÖTALANDS LÄN</t>
        </is>
      </c>
      <c r="G340" t="inlineStr">
        <is>
          <t>MUNKEDAL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46276</v>
      </c>
      <c r="E341" s="1" t="n">
        <v>46293</v>
      </c>
      <c r="F341" t="inlineStr">
        <is>
          <t>VÄSTRA GÖTALANDS LÄN</t>
        </is>
      </c>
      <c r="G341" t="inlineStr">
        <is>
          <t>MUNKEDAL</t>
        </is>
      </c>
      <c r="I341" t="n">
        <v>11.8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7389-2022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44606</v>
      </c>
      <c r="E342" s="1" t="n">
        <v>46293</v>
      </c>
      <c r="F342" t="inlineStr">
        <is>
          <t>VÄSTRA GÖTALANDS LÄN</t>
        </is>
      </c>
      <c r="G342" t="inlineStr">
        <is>
          <t>MUNKEDAL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30133-2024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45489</v>
      </c>
      <c r="E343" s="1" t="n">
        <v>46293</v>
      </c>
      <c r="F343" t="inlineStr">
        <is>
          <t>VÄSTRA GÖTALANDS LÄN</t>
        </is>
      </c>
      <c r="G343" t="inlineStr">
        <is>
          <t>MUNKEDAL</t>
        </is>
      </c>
      <c r="I343" t="n">
        <v>10.3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46293</v>
      </c>
      <c r="F344" t="inlineStr">
        <is>
          <t>VÄSTRA GÖTALANDS LÄN</t>
        </is>
      </c>
      <c r="G344" t="inlineStr">
        <is>
          <t>MUNKEDAL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62090-2023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46293</v>
      </c>
      <c r="F345" t="inlineStr">
        <is>
          <t>VÄSTRA GÖTALANDS LÄN</t>
        </is>
      </c>
      <c r="G345" t="inlineStr">
        <is>
          <t>MUNKEDAL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46293</v>
      </c>
      <c r="F346" t="inlineStr">
        <is>
          <t>VÄSTRA GÖTALANDS LÄN</t>
        </is>
      </c>
      <c r="G346" t="inlineStr">
        <is>
          <t>MUNKEDAL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45076</v>
      </c>
      <c r="E347" s="1" t="n">
        <v>46293</v>
      </c>
      <c r="F347" t="inlineStr">
        <is>
          <t>VÄSTRA GÖTALANDS LÄN</t>
        </is>
      </c>
      <c r="G347" t="inlineStr">
        <is>
          <t>MUNKEDAL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46244</v>
      </c>
      <c r="E348" s="1" t="n">
        <v>46293</v>
      </c>
      <c r="F348" t="inlineStr">
        <is>
          <t>VÄSTRA GÖTALANDS LÄN</t>
        </is>
      </c>
      <c r="G348" t="inlineStr">
        <is>
          <t>MUNKEDAL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39640-2026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46288</v>
      </c>
      <c r="E349" s="1" t="n">
        <v>46293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38544-2024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45546</v>
      </c>
      <c r="E350" s="1" t="n">
        <v>46293</v>
      </c>
      <c r="F350" t="inlineStr">
        <is>
          <t>VÄSTRA GÖTALANDS LÄN</t>
        </is>
      </c>
      <c r="G350" t="inlineStr">
        <is>
          <t>MUNKEDAL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46293</v>
      </c>
      <c r="F351" t="inlineStr">
        <is>
          <t>VÄSTRA GÖTALANDS LÄN</t>
        </is>
      </c>
      <c r="G351" t="inlineStr">
        <is>
          <t>MUNKEDAL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49218-2022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44861</v>
      </c>
      <c r="E352" s="1" t="n">
        <v>46293</v>
      </c>
      <c r="F352" t="inlineStr">
        <is>
          <t>VÄSTRA GÖTALANDS LÄN</t>
        </is>
      </c>
      <c r="G352" t="inlineStr">
        <is>
          <t>MUNKEDAL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46247</v>
      </c>
      <c r="E353" s="1" t="n">
        <v>46293</v>
      </c>
      <c r="F353" t="inlineStr">
        <is>
          <t>VÄSTRA GÖTALANDS LÄN</t>
        </is>
      </c>
      <c r="G353" t="inlineStr">
        <is>
          <t>MUNKEDAL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33417-2026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46247</v>
      </c>
      <c r="E354" s="1" t="n">
        <v>46293</v>
      </c>
      <c r="F354" t="inlineStr">
        <is>
          <t>VÄSTRA GÖTALANDS LÄN</t>
        </is>
      </c>
      <c r="G354" t="inlineStr">
        <is>
          <t>MUNKEDAL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44937</v>
      </c>
      <c r="E355" s="1" t="n">
        <v>46293</v>
      </c>
      <c r="F355" t="inlineStr">
        <is>
          <t>VÄSTRA GÖTALANDS LÄN</t>
        </is>
      </c>
      <c r="G355" t="inlineStr">
        <is>
          <t>MUNKEDAL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46293</v>
      </c>
      <c r="F356" t="inlineStr">
        <is>
          <t>VÄSTRA GÖTALANDS LÄN</t>
        </is>
      </c>
      <c r="G356" t="inlineStr">
        <is>
          <t>MUNKEDAL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44580</v>
      </c>
      <c r="E357" s="1" t="n">
        <v>46293</v>
      </c>
      <c r="F357" t="inlineStr">
        <is>
          <t>VÄSTRA GÖTALANDS LÄN</t>
        </is>
      </c>
      <c r="G357" t="inlineStr">
        <is>
          <t>MUNKEDAL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53891-2023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45231</v>
      </c>
      <c r="E358" s="1" t="n">
        <v>46293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19361-2023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45049</v>
      </c>
      <c r="E359" s="1" t="n">
        <v>46293</v>
      </c>
      <c r="F359" t="inlineStr">
        <is>
          <t>VÄSTRA GÖTALANDS LÄN</t>
        </is>
      </c>
      <c r="G359" t="inlineStr">
        <is>
          <t>MUNKEDAL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45070</v>
      </c>
      <c r="E360" s="1" t="n">
        <v>46293</v>
      </c>
      <c r="F360" t="inlineStr">
        <is>
          <t>VÄSTRA GÖTALANDS LÄN</t>
        </is>
      </c>
      <c r="G360" t="inlineStr">
        <is>
          <t>MUNKEDAL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46293</v>
      </c>
      <c r="F361" t="inlineStr">
        <is>
          <t>VÄSTRA GÖTALANDS LÄN</t>
        </is>
      </c>
      <c r="G361" t="inlineStr">
        <is>
          <t>MUNKEDAL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45076</v>
      </c>
      <c r="E362" s="1" t="n">
        <v>46293</v>
      </c>
      <c r="F362" t="inlineStr">
        <is>
          <t>VÄSTRA GÖTALANDS LÄN</t>
        </is>
      </c>
      <c r="G362" t="inlineStr">
        <is>
          <t>MUNKEDAL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45618</v>
      </c>
      <c r="E363" s="1" t="n">
        <v>46293</v>
      </c>
      <c r="F363" t="inlineStr">
        <is>
          <t>VÄSTRA GÖTALANDS LÄN</t>
        </is>
      </c>
      <c r="G363" t="inlineStr">
        <is>
          <t>MUNKEDAL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45111</v>
      </c>
      <c r="E364" s="1" t="n">
        <v>46293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Naturvårdsverket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46293</v>
      </c>
      <c r="F365" t="inlineStr">
        <is>
          <t>VÄSTRA GÖTALANDS LÄN</t>
        </is>
      </c>
      <c r="G365" t="inlineStr">
        <is>
          <t>MUNKEDAL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62463-2023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46293</v>
      </c>
      <c r="F366" t="inlineStr">
        <is>
          <t>VÄSTRA GÖTALANDS LÄN</t>
        </is>
      </c>
      <c r="G366" t="inlineStr">
        <is>
          <t>MUNKEDAL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44946</v>
      </c>
      <c r="E367" s="1" t="n">
        <v>46293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44747</v>
      </c>
      <c r="E368" s="1" t="n">
        <v>46293</v>
      </c>
      <c r="F368" t="inlineStr">
        <is>
          <t>VÄSTRA GÖTALANDS LÄN</t>
        </is>
      </c>
      <c r="G368" t="inlineStr">
        <is>
          <t>MUNKEDAL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29959-2024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45488</v>
      </c>
      <c r="E369" s="1" t="n">
        <v>46293</v>
      </c>
      <c r="F369" t="inlineStr">
        <is>
          <t>VÄSTRA GÖTALANDS LÄN</t>
        </is>
      </c>
      <c r="G369" t="inlineStr">
        <is>
          <t>MUNKEDAL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45321</v>
      </c>
      <c r="E370" s="1" t="n">
        <v>46293</v>
      </c>
      <c r="F370" t="inlineStr">
        <is>
          <t>VÄSTRA GÖTALANDS LÄN</t>
        </is>
      </c>
      <c r="G370" t="inlineStr">
        <is>
          <t>MUNKEDAL</t>
        </is>
      </c>
      <c r="I370" t="n">
        <v>20.2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45317</v>
      </c>
      <c r="E371" s="1" t="n">
        <v>46293</v>
      </c>
      <c r="F371" t="inlineStr">
        <is>
          <t>VÄSTRA GÖTALANDS LÄN</t>
        </is>
      </c>
      <c r="G371" t="inlineStr">
        <is>
          <t>MUNKEDAL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24088-2024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45456</v>
      </c>
      <c r="E372" s="1" t="n">
        <v>46293</v>
      </c>
      <c r="F372" t="inlineStr">
        <is>
          <t>VÄSTRA GÖTALANDS LÄN</t>
        </is>
      </c>
      <c r="G372" t="inlineStr">
        <is>
          <t>MUNKEDAL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45356</v>
      </c>
      <c r="E373" s="1" t="n">
        <v>46293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45488</v>
      </c>
      <c r="E374" s="1" t="n">
        <v>46293</v>
      </c>
      <c r="F374" t="inlineStr">
        <is>
          <t>VÄSTRA GÖTALANDS LÄN</t>
        </is>
      </c>
      <c r="G374" t="inlineStr">
        <is>
          <t>MUNKEDAL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37389-2024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45540</v>
      </c>
      <c r="E375" s="1" t="n">
        <v>46293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18159-2025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45761</v>
      </c>
      <c r="E376" s="1" t="n">
        <v>46293</v>
      </c>
      <c r="F376" t="inlineStr">
        <is>
          <t>VÄSTRA GÖTALANDS LÄN</t>
        </is>
      </c>
      <c r="G376" t="inlineStr">
        <is>
          <t>MUNKEDAL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46293</v>
      </c>
      <c r="F377" t="inlineStr">
        <is>
          <t>VÄSTRA GÖTALANDS LÄN</t>
        </is>
      </c>
      <c r="G377" t="inlineStr">
        <is>
          <t>MUNKEDAL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45667</v>
      </c>
      <c r="E378" s="1" t="n">
        <v>46293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44993</v>
      </c>
      <c r="E379" s="1" t="n">
        <v>46293</v>
      </c>
      <c r="F379" t="inlineStr">
        <is>
          <t>VÄSTRA GÖTALANDS LÄN</t>
        </is>
      </c>
      <c r="G379" t="inlineStr">
        <is>
          <t>MUNKEDAL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21625-2023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45063</v>
      </c>
      <c r="E380" s="1" t="n">
        <v>46293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11425-2022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44630</v>
      </c>
      <c r="E381" s="1" t="n">
        <v>46293</v>
      </c>
      <c r="F381" t="inlineStr">
        <is>
          <t>VÄSTRA GÖTALANDS LÄN</t>
        </is>
      </c>
      <c r="G381" t="inlineStr">
        <is>
          <t>MUNKEDAL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55183-2024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45620</v>
      </c>
      <c r="E382" s="1" t="n">
        <v>46293</v>
      </c>
      <c r="F382" t="inlineStr">
        <is>
          <t>VÄSTRA GÖTALANDS LÄN</t>
        </is>
      </c>
      <c r="G382" t="inlineStr">
        <is>
          <t>MUNKEDAL</t>
        </is>
      </c>
      <c r="I382" t="n">
        <v>8.699999999999999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45674</v>
      </c>
      <c r="E383" s="1" t="n">
        <v>46293</v>
      </c>
      <c r="F383" t="inlineStr">
        <is>
          <t>VÄSTRA GÖTALANDS LÄN</t>
        </is>
      </c>
      <c r="G383" t="inlineStr">
        <is>
          <t>MUNKEDAL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54760-2024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45618</v>
      </c>
      <c r="E384" s="1" t="n">
        <v>46293</v>
      </c>
      <c r="F384" t="inlineStr">
        <is>
          <t>VÄSTRA GÖTALANDS LÄN</t>
        </is>
      </c>
      <c r="G384" t="inlineStr">
        <is>
          <t>MUNKEDAL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62098-2022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44920</v>
      </c>
      <c r="E385" s="1" t="n">
        <v>46293</v>
      </c>
      <c r="F385" t="inlineStr">
        <is>
          <t>VÄSTRA GÖTALANDS LÄN</t>
        </is>
      </c>
      <c r="G385" t="inlineStr">
        <is>
          <t>MUNKEDAL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44920</v>
      </c>
      <c r="E386" s="1" t="n">
        <v>46293</v>
      </c>
      <c r="F386" t="inlineStr">
        <is>
          <t>VÄSTRA GÖTALANDS LÄN</t>
        </is>
      </c>
      <c r="G386" t="inlineStr">
        <is>
          <t>MUNKEDAL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45306</v>
      </c>
      <c r="E387" s="1" t="n">
        <v>46293</v>
      </c>
      <c r="F387" t="inlineStr">
        <is>
          <t>VÄSTRA GÖTALANDS LÄN</t>
        </is>
      </c>
      <c r="G387" t="inlineStr">
        <is>
          <t>MUNKEDAL</t>
        </is>
      </c>
      <c r="I387" t="n">
        <v>25.2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45684</v>
      </c>
      <c r="E388" s="1" t="n">
        <v>46293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Kommuner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61377-2023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45264</v>
      </c>
      <c r="E389" s="1" t="n">
        <v>46293</v>
      </c>
      <c r="F389" t="inlineStr">
        <is>
          <t>VÄSTRA GÖTALANDS LÄN</t>
        </is>
      </c>
      <c r="G389" t="inlineStr">
        <is>
          <t>MUNKEDAL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50034-2023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45215</v>
      </c>
      <c r="E390" s="1" t="n">
        <v>46293</v>
      </c>
      <c r="F390" t="inlineStr">
        <is>
          <t>VÄSTRA GÖTALANDS LÄN</t>
        </is>
      </c>
      <c r="G390" t="inlineStr">
        <is>
          <t>MUNKEDAL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46293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12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20251-2022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44698</v>
      </c>
      <c r="E392" s="1" t="n">
        <v>46293</v>
      </c>
      <c r="F392" t="inlineStr">
        <is>
          <t>VÄSTRA GÖTALANDS LÄN</t>
        </is>
      </c>
      <c r="G392" t="inlineStr">
        <is>
          <t>MUNKEDAL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45777</v>
      </c>
      <c r="E393" s="1" t="n">
        <v>46293</v>
      </c>
      <c r="F393" t="inlineStr">
        <is>
          <t>VÄSTRA GÖTALANDS LÄN</t>
        </is>
      </c>
      <c r="G393" t="inlineStr">
        <is>
          <t>MUNKEDAL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45614</v>
      </c>
      <c r="E394" s="1" t="n">
        <v>46293</v>
      </c>
      <c r="F394" t="inlineStr">
        <is>
          <t>VÄSTRA GÖTALANDS LÄN</t>
        </is>
      </c>
      <c r="G394" t="inlineStr">
        <is>
          <t>MUNKEDAL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46293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46293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46293</v>
      </c>
      <c r="F397" t="inlineStr">
        <is>
          <t>VÄSTRA GÖTALANDS LÄN</t>
        </is>
      </c>
      <c r="G397" t="inlineStr">
        <is>
          <t>MUNKEDAL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46293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46293</v>
      </c>
      <c r="F399" t="inlineStr">
        <is>
          <t>VÄSTRA GÖTALANDS LÄN</t>
        </is>
      </c>
      <c r="G399" t="inlineStr">
        <is>
          <t>MUNKEDAL</t>
        </is>
      </c>
      <c r="I399" t="n">
        <v>13.8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46293</v>
      </c>
      <c r="F400" t="inlineStr">
        <is>
          <t>VÄSTRA GÖTALANDS LÄN</t>
        </is>
      </c>
      <c r="G400" t="inlineStr">
        <is>
          <t>MUNKEDAL</t>
        </is>
      </c>
      <c r="I400" t="n">
        <v>12.7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45408</v>
      </c>
      <c r="E401" s="1" t="n">
        <v>46293</v>
      </c>
      <c r="F401" t="inlineStr">
        <is>
          <t>VÄSTRA GÖTALANDS LÄN</t>
        </is>
      </c>
      <c r="G401" t="inlineStr">
        <is>
          <t>MUNKEDAL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45720</v>
      </c>
      <c r="E402" s="1" t="n">
        <v>46293</v>
      </c>
      <c r="F402" t="inlineStr">
        <is>
          <t>VÄSTRA GÖTALANDS LÄN</t>
        </is>
      </c>
      <c r="G402" t="inlineStr">
        <is>
          <t>MUNKEDAL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45721</v>
      </c>
      <c r="E403" s="1" t="n">
        <v>46293</v>
      </c>
      <c r="F403" t="inlineStr">
        <is>
          <t>VÄSTRA GÖTALANDS LÄN</t>
        </is>
      </c>
      <c r="G403" t="inlineStr">
        <is>
          <t>MUNKEDAL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46293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26.5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46293</v>
      </c>
      <c r="F405" t="inlineStr">
        <is>
          <t>VÄSTRA GÖTALANDS LÄN</t>
        </is>
      </c>
      <c r="G405" t="inlineStr">
        <is>
          <t>MUNKEDAL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2558-2022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44697</v>
      </c>
      <c r="E406" s="1" t="n">
        <v>46293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12.5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2428-2024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45469</v>
      </c>
      <c r="E407" s="1" t="n">
        <v>46293</v>
      </c>
      <c r="F407" t="inlineStr">
        <is>
          <t>VÄSTRA GÖTALANDS LÄN</t>
        </is>
      </c>
      <c r="G407" t="inlineStr">
        <is>
          <t>MUNKEDAL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4047-2023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45240</v>
      </c>
      <c r="E408" s="1" t="n">
        <v>46293</v>
      </c>
      <c r="F408" t="inlineStr">
        <is>
          <t>VÄSTRA GÖTALANDS LÄN</t>
        </is>
      </c>
      <c r="G408" t="inlineStr">
        <is>
          <t>MUNKEDAL</t>
        </is>
      </c>
      <c r="I408" t="n">
        <v>17.1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1070-2025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45749</v>
      </c>
      <c r="E409" s="1" t="n">
        <v>46293</v>
      </c>
      <c r="F409" t="inlineStr">
        <is>
          <t>VÄSTRA GÖTALANDS LÄN</t>
        </is>
      </c>
      <c r="G409" t="inlineStr">
        <is>
          <t>MUNKEDAL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1617-2025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45799</v>
      </c>
      <c r="E410" s="1" t="n">
        <v>46293</v>
      </c>
      <c r="F410" t="inlineStr">
        <is>
          <t>VÄSTRA GÖTALANDS LÄN</t>
        </is>
      </c>
      <c r="G410" t="inlineStr">
        <is>
          <t>MUNKEDAL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2026-09-28T02:00:53Z</dcterms:created>
  <dcterms:modified xmlns:dcterms="http://purl.org/dc/terms/" xmlns:xsi="http://www.w3.org/2001/XMLSchema-instance" xsi:type="dcterms:W3CDTF">2026-09-28T02:00:53Z</dcterms:modified>
</cp:coreProperties>
</file>