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46200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46200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46200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46200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2562-2025</t>
        </is>
      </c>
      <c r="B9" s="1" t="n">
        <v>45674</v>
      </c>
      <c r="C9" s="1" t="n">
        <v>46200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s="1" t="n">
        <v>45313</v>
      </c>
      <c r="C10" s="1" t="n">
        <v>46200</v>
      </c>
      <c r="D10" t="inlineStr">
        <is>
          <t>VÄSTRA GÖTALANDS LÄN</t>
        </is>
      </c>
      <c r="E10" t="inlineStr">
        <is>
          <t>MUNKEDAL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Havsörn
Gullviva</t>
        </is>
      </c>
      <c r="S10">
        <f>HYPERLINK("https://klasma.github.io/Logging_1430/artfynd/A 2539-2024 artfynd.xlsx", "A 2539-2024")</f>
        <v/>
      </c>
      <c r="T10">
        <f>HYPERLINK("https://klasma.github.io/Logging_1430/kartor/A 2539-2024 karta.png", "A 2539-2024")</f>
        <v/>
      </c>
      <c r="V10">
        <f>HYPERLINK("https://klasma.github.io/Logging_1430/klagomål/A 2539-2024 FSC-klagomål.docx", "A 2539-2024")</f>
        <v/>
      </c>
      <c r="W10">
        <f>HYPERLINK("https://klasma.github.io/Logging_1430/klagomålsmail/A 2539-2024 FSC-klagomål mail.docx", "A 2539-2024")</f>
        <v/>
      </c>
      <c r="X10">
        <f>HYPERLINK("https://klasma.github.io/Logging_1430/tillsyn/A 2539-2024 tillsynsbegäran.docx", "A 2539-2024")</f>
        <v/>
      </c>
      <c r="Y10">
        <f>HYPERLINK("https://klasma.github.io/Logging_1430/tillsynsmail/A 2539-2024 tillsynsbegäran mail.docx", "A 2539-2024")</f>
        <v/>
      </c>
      <c r="Z10">
        <f>HYPERLINK("https://klasma.github.io/Logging_1430/fåglar/A 2539-2024 prioriterade fågelarter.docx", "A 2539-2024")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46200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25957-2025</t>
        </is>
      </c>
      <c r="B12" s="1" t="n">
        <v>45804</v>
      </c>
      <c r="C12" s="1" t="n">
        <v>46200</v>
      </c>
      <c r="D12" t="inlineStr">
        <is>
          <t>VÄSTRA GÖTALANDS LÄN</t>
        </is>
      </c>
      <c r="E12" t="inlineStr">
        <is>
          <t>MUNKEDAL</t>
        </is>
      </c>
      <c r="G12" t="n">
        <v>10.9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HYPERLINK("https://klasma.github.io/Logging_1430/artfynd/A 25957-2025 artfynd.xlsx", "A 25957-2025")</f>
        <v/>
      </c>
      <c r="T12">
        <f>HYPERLINK("https://klasma.github.io/Logging_1430/kartor/A 25957-2025 karta.png", "A 25957-2025")</f>
        <v/>
      </c>
      <c r="V12">
        <f>HYPERLINK("https://klasma.github.io/Logging_1430/klagomål/A 25957-2025 FSC-klagomål.docx", "A 25957-2025")</f>
        <v/>
      </c>
      <c r="W12">
        <f>HYPERLINK("https://klasma.github.io/Logging_1430/klagomålsmail/A 25957-2025 FSC-klagomål mail.docx", "A 25957-2025")</f>
        <v/>
      </c>
      <c r="X12">
        <f>HYPERLINK("https://klasma.github.io/Logging_1430/tillsyn/A 25957-2025 tillsynsbegäran.docx", "A 25957-2025")</f>
        <v/>
      </c>
      <c r="Y12">
        <f>HYPERLINK("https://klasma.github.io/Logging_1430/tillsynsmail/A 25957-2025 tillsynsbegäran mail.docx", "A 25957-2025")</f>
        <v/>
      </c>
    </row>
    <row r="13" ht="15" customHeight="1">
      <c r="A13" t="inlineStr">
        <is>
          <t>A 62382-2025</t>
        </is>
      </c>
      <c r="B13" s="1" t="n">
        <v>46006</v>
      </c>
      <c r="C13" s="1" t="n">
        <v>46200</v>
      </c>
      <c r="D13" t="inlineStr">
        <is>
          <t>VÄSTRA GÖTALANDS LÄN</t>
        </is>
      </c>
      <c r="E13" t="inlineStr">
        <is>
          <t>MUNKEDAL</t>
        </is>
      </c>
      <c r="G13" t="n">
        <v>4.4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hackspett
Revlummer</t>
        </is>
      </c>
      <c r="S13">
        <f>HYPERLINK("https://klasma.github.io/Logging_1430/artfynd/A 62382-2025 artfynd.xlsx", "A 62382-2025")</f>
        <v/>
      </c>
      <c r="T13">
        <f>HYPERLINK("https://klasma.github.io/Logging_1430/kartor/A 62382-2025 karta.png", "A 62382-2025")</f>
        <v/>
      </c>
      <c r="V13">
        <f>HYPERLINK("https://klasma.github.io/Logging_1430/klagomål/A 62382-2025 FSC-klagomål.docx", "A 62382-2025")</f>
        <v/>
      </c>
      <c r="W13">
        <f>HYPERLINK("https://klasma.github.io/Logging_1430/klagomålsmail/A 62382-2025 FSC-klagomål mail.docx", "A 62382-2025")</f>
        <v/>
      </c>
      <c r="X13">
        <f>HYPERLINK("https://klasma.github.io/Logging_1430/tillsyn/A 62382-2025 tillsynsbegäran.docx", "A 62382-2025")</f>
        <v/>
      </c>
      <c r="Y13">
        <f>HYPERLINK("https://klasma.github.io/Logging_1430/tillsynsmail/A 62382-2025 tillsynsbegäran mail.docx", "A 62382-2025")</f>
        <v/>
      </c>
      <c r="Z13">
        <f>HYPERLINK("https://klasma.github.io/Logging_1430/fåglar/A 62382-2025 prioriterade fågelarter.docx", "A 62382-2025")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46200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46200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46200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46200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46200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36912-2023</t>
        </is>
      </c>
      <c r="B19" s="1" t="n">
        <v>45153</v>
      </c>
      <c r="C19" s="1" t="n">
        <v>46200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Jaktfalk</t>
        </is>
      </c>
      <c r="S19">
        <f>HYPERLINK("https://klasma.github.io/Logging_1430/artfynd/A 36912-2023 artfynd.xlsx", "A 36912-2023")</f>
        <v/>
      </c>
      <c r="T19">
        <f>HYPERLINK("https://klasma.github.io/Logging_1430/kartor/A 36912-2023 karta.png", "A 36912-2023")</f>
        <v/>
      </c>
      <c r="V19">
        <f>HYPERLINK("https://klasma.github.io/Logging_1430/klagomål/A 36912-2023 FSC-klagomål.docx", "A 36912-2023")</f>
        <v/>
      </c>
      <c r="W19">
        <f>HYPERLINK("https://klasma.github.io/Logging_1430/klagomålsmail/A 36912-2023 FSC-klagomål mail.docx", "A 36912-2023")</f>
        <v/>
      </c>
      <c r="X19">
        <f>HYPERLINK("https://klasma.github.io/Logging_1430/tillsyn/A 36912-2023 tillsynsbegäran.docx", "A 36912-2023")</f>
        <v/>
      </c>
      <c r="Y19">
        <f>HYPERLINK("https://klasma.github.io/Logging_1430/tillsynsmail/A 36912-2023 tillsynsbegäran mail.docx", "A 36912-2023")</f>
        <v/>
      </c>
    </row>
    <row r="20" ht="15" customHeight="1">
      <c r="A20" t="inlineStr">
        <is>
          <t>A 45160-2024</t>
        </is>
      </c>
      <c r="B20" s="1" t="n">
        <v>45575</v>
      </c>
      <c r="C20" s="1" t="n">
        <v>46200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46200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46200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46200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20258-2022</t>
        </is>
      </c>
      <c r="B24" s="1" t="n">
        <v>44698</v>
      </c>
      <c r="C24" s="1" t="n">
        <v>46200</v>
      </c>
      <c r="D24" t="inlineStr">
        <is>
          <t>VÄSTRA GÖTALANDS LÄN</t>
        </is>
      </c>
      <c r="E24" t="inlineStr">
        <is>
          <t>MUNKEDAL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Honungsvaxing</t>
        </is>
      </c>
      <c r="S24">
        <f>HYPERLINK("https://klasma.github.io/Logging_1430/artfynd/A 20258-2022 artfynd.xlsx", "A 20258-2022")</f>
        <v/>
      </c>
      <c r="T24">
        <f>HYPERLINK("https://klasma.github.io/Logging_1430/kartor/A 20258-2022 karta.png", "A 20258-2022")</f>
        <v/>
      </c>
      <c r="V24">
        <f>HYPERLINK("https://klasma.github.io/Logging_1430/klagomål/A 20258-2022 FSC-klagomål.docx", "A 20258-2022")</f>
        <v/>
      </c>
      <c r="W24">
        <f>HYPERLINK("https://klasma.github.io/Logging_1430/klagomålsmail/A 20258-2022 FSC-klagomål mail.docx", "A 20258-2022")</f>
        <v/>
      </c>
      <c r="X24">
        <f>HYPERLINK("https://klasma.github.io/Logging_1430/tillsyn/A 20258-2022 tillsynsbegäran.docx", "A 20258-2022")</f>
        <v/>
      </c>
      <c r="Y24">
        <f>HYPERLINK("https://klasma.github.io/Logging_1430/tillsynsmail/A 20258-2022 tillsynsbegäran mail.docx", "A 20258-2022")</f>
        <v/>
      </c>
    </row>
    <row r="25" ht="15" customHeight="1">
      <c r="A25" t="inlineStr">
        <is>
          <t>A 2887-2025</t>
        </is>
      </c>
      <c r="B25" s="1" t="n">
        <v>45677</v>
      </c>
      <c r="C25" s="1" t="n">
        <v>46200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9.699999999999999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HYPERLINK("https://klasma.github.io/Logging_1430/artfynd/A 2887-2025 artfynd.xlsx", "A 2887-2025")</f>
        <v/>
      </c>
      <c r="T25">
        <f>HYPERLINK("https://klasma.github.io/Logging_1430/kartor/A 2887-2025 karta.png", "A 2887-2025")</f>
        <v/>
      </c>
      <c r="V25">
        <f>HYPERLINK("https://klasma.github.io/Logging_1430/klagomål/A 2887-2025 FSC-klagomål.docx", "A 2887-2025")</f>
        <v/>
      </c>
      <c r="W25">
        <f>HYPERLINK("https://klasma.github.io/Logging_1430/klagomålsmail/A 2887-2025 FSC-klagomål mail.docx", "A 2887-2025")</f>
        <v/>
      </c>
      <c r="X25">
        <f>HYPERLINK("https://klasma.github.io/Logging_1430/tillsyn/A 2887-2025 tillsynsbegäran.docx", "A 2887-2025")</f>
        <v/>
      </c>
      <c r="Y25">
        <f>HYPERLINK("https://klasma.github.io/Logging_1430/tillsynsmail/A 2887-2025 tillsynsbegäran mail.docx", "A 2887-2025")</f>
        <v/>
      </c>
    </row>
    <row r="26" ht="15" customHeight="1">
      <c r="A26" t="inlineStr">
        <is>
          <t>A 62525-2021</t>
        </is>
      </c>
      <c r="B26" s="1" t="n">
        <v>44503</v>
      </c>
      <c r="C26" s="1" t="n">
        <v>46200</v>
      </c>
      <c r="D26" t="inlineStr">
        <is>
          <t>VÄSTRA GÖTALANDS LÄN</t>
        </is>
      </c>
      <c r="E26" t="inlineStr">
        <is>
          <t>MUNKEDAL</t>
        </is>
      </c>
      <c r="G26" t="n">
        <v>14.5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Trollsmultron</t>
        </is>
      </c>
      <c r="S26">
        <f>HYPERLINK("https://klasma.github.io/Logging_1430/artfynd/A 62525-2021 artfynd.xlsx", "A 62525-2021")</f>
        <v/>
      </c>
      <c r="T26">
        <f>HYPERLINK("https://klasma.github.io/Logging_1430/kartor/A 62525-2021 karta.png", "A 62525-2021")</f>
        <v/>
      </c>
      <c r="V26">
        <f>HYPERLINK("https://klasma.github.io/Logging_1430/klagomål/A 62525-2021 FSC-klagomål.docx", "A 62525-2021")</f>
        <v/>
      </c>
      <c r="W26">
        <f>HYPERLINK("https://klasma.github.io/Logging_1430/klagomålsmail/A 62525-2021 FSC-klagomål mail.docx", "A 62525-2021")</f>
        <v/>
      </c>
      <c r="X26">
        <f>HYPERLINK("https://klasma.github.io/Logging_1430/tillsyn/A 62525-2021 tillsynsbegäran.docx", "A 62525-2021")</f>
        <v/>
      </c>
      <c r="Y26">
        <f>HYPERLINK("https://klasma.github.io/Logging_1430/tillsynsmail/A 62525-2021 tillsynsbegäran mail.docx", "A 62525-2021")</f>
        <v/>
      </c>
    </row>
    <row r="27" ht="15" customHeight="1">
      <c r="A27" t="inlineStr">
        <is>
          <t>A 37035-2024</t>
        </is>
      </c>
      <c r="B27" s="1" t="n">
        <v>45539</v>
      </c>
      <c r="C27" s="1" t="n">
        <v>46200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43.6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37035-2024 artfynd.xlsx", "A 37035-2024")</f>
        <v/>
      </c>
      <c r="T27">
        <f>HYPERLINK("https://klasma.github.io/Logging_1430/kartor/A 37035-2024 karta.png", "A 37035-2024")</f>
        <v/>
      </c>
      <c r="V27">
        <f>HYPERLINK("https://klasma.github.io/Logging_1430/klagomål/A 37035-2024 FSC-klagomål.docx", "A 37035-2024")</f>
        <v/>
      </c>
      <c r="W27">
        <f>HYPERLINK("https://klasma.github.io/Logging_1430/klagomålsmail/A 37035-2024 FSC-klagomål mail.docx", "A 37035-2024")</f>
        <v/>
      </c>
      <c r="X27">
        <f>HYPERLINK("https://klasma.github.io/Logging_1430/tillsyn/A 37035-2024 tillsynsbegäran.docx", "A 37035-2024")</f>
        <v/>
      </c>
      <c r="Y27">
        <f>HYPERLINK("https://klasma.github.io/Logging_1430/tillsynsmail/A 37035-2024 tillsynsbegäran mail.docx", "A 37035-2024")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46200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51398-2025</t>
        </is>
      </c>
      <c r="B29" s="1" t="n">
        <v>45947</v>
      </c>
      <c r="C29" s="1" t="n">
        <v>46200</v>
      </c>
      <c r="D29" t="inlineStr">
        <is>
          <t>VÄSTRA GÖTALANDS LÄN</t>
        </is>
      </c>
      <c r="E29" t="inlineStr">
        <is>
          <t>MUNKEDAL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51398-2025 artfynd.xlsx", "A 51398-2025")</f>
        <v/>
      </c>
      <c r="T29">
        <f>HYPERLINK("https://klasma.github.io/Logging_1430/kartor/A 51398-2025 karta.png", "A 51398-2025")</f>
        <v/>
      </c>
      <c r="V29">
        <f>HYPERLINK("https://klasma.github.io/Logging_1430/klagomål/A 51398-2025 FSC-klagomål.docx", "A 51398-2025")</f>
        <v/>
      </c>
      <c r="W29">
        <f>HYPERLINK("https://klasma.github.io/Logging_1430/klagomålsmail/A 51398-2025 FSC-klagomål mail.docx", "A 51398-2025")</f>
        <v/>
      </c>
      <c r="X29">
        <f>HYPERLINK("https://klasma.github.io/Logging_1430/tillsyn/A 51398-2025 tillsynsbegäran.docx", "A 51398-2025")</f>
        <v/>
      </c>
      <c r="Y29">
        <f>HYPERLINK("https://klasma.github.io/Logging_1430/tillsynsmail/A 51398-2025 tillsynsbegäran mail.docx", "A 51398-2025")</f>
        <v/>
      </c>
    </row>
    <row r="30" ht="15" customHeight="1">
      <c r="A30" t="inlineStr">
        <is>
          <t>A 45083-2024</t>
        </is>
      </c>
      <c r="B30" s="1" t="n">
        <v>45575</v>
      </c>
      <c r="C30" s="1" t="n">
        <v>46200</v>
      </c>
      <c r="D30" t="inlineStr">
        <is>
          <t>VÄSTRA GÖTALANDS LÄN</t>
        </is>
      </c>
      <c r="E30" t="inlineStr">
        <is>
          <t>MUNKEDAL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HYPERLINK("https://klasma.github.io/Logging_1430/artfynd/A 45083-2024 artfynd.xlsx", "A 45083-2024")</f>
        <v/>
      </c>
      <c r="T30">
        <f>HYPERLINK("https://klasma.github.io/Logging_1430/kartor/A 45083-2024 karta.png", "A 45083-2024")</f>
        <v/>
      </c>
      <c r="V30">
        <f>HYPERLINK("https://klasma.github.io/Logging_1430/klagomål/A 45083-2024 FSC-klagomål.docx", "A 45083-2024")</f>
        <v/>
      </c>
      <c r="W30">
        <f>HYPERLINK("https://klasma.github.io/Logging_1430/klagomålsmail/A 45083-2024 FSC-klagomål mail.docx", "A 45083-2024")</f>
        <v/>
      </c>
      <c r="X30">
        <f>HYPERLINK("https://klasma.github.io/Logging_1430/tillsyn/A 45083-2024 tillsynsbegäran.docx", "A 45083-2024")</f>
        <v/>
      </c>
      <c r="Y30">
        <f>HYPERLINK("https://klasma.github.io/Logging_1430/tillsynsmail/A 45083-2024 tillsynsbegäran mail.docx", "A 45083-2024")</f>
        <v/>
      </c>
    </row>
    <row r="31" ht="15" customHeight="1">
      <c r="A31" t="inlineStr">
        <is>
          <t>A 22963-2026</t>
        </is>
      </c>
      <c r="B31" s="1" t="n">
        <v>46160</v>
      </c>
      <c r="C31" s="1" t="n">
        <v>46200</v>
      </c>
      <c r="D31" t="inlineStr">
        <is>
          <t>VÄSTRA GÖTALANDS LÄN</t>
        </is>
      </c>
      <c r="E31" t="inlineStr">
        <is>
          <t>MUNKEDAL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22963-2026 artfynd.xlsx", "A 22963-2026")</f>
        <v/>
      </c>
      <c r="T31">
        <f>HYPERLINK("https://klasma.github.io/Logging_1430/kartor/A 22963-2026 karta.png", "A 22963-2026")</f>
        <v/>
      </c>
      <c r="V31">
        <f>HYPERLINK("https://klasma.github.io/Logging_1430/klagomål/A 22963-2026 FSC-klagomål.docx", "A 22963-2026")</f>
        <v/>
      </c>
      <c r="W31">
        <f>HYPERLINK("https://klasma.github.io/Logging_1430/klagomålsmail/A 22963-2026 FSC-klagomål mail.docx", "A 22963-2026")</f>
        <v/>
      </c>
      <c r="X31">
        <f>HYPERLINK("https://klasma.github.io/Logging_1430/tillsyn/A 22963-2026 tillsynsbegäran.docx", "A 22963-2026")</f>
        <v/>
      </c>
      <c r="Y31">
        <f>HYPERLINK("https://klasma.github.io/Logging_1430/tillsynsmail/A 22963-2026 tillsynsbegäran mail.docx", "A 22963-2026")</f>
        <v/>
      </c>
    </row>
    <row r="32" ht="15" customHeight="1">
      <c r="A32" t="inlineStr">
        <is>
          <t>A 23065-2026</t>
        </is>
      </c>
      <c r="B32" s="1" t="n">
        <v>46161</v>
      </c>
      <c r="C32" s="1" t="n">
        <v>46200</v>
      </c>
      <c r="D32" t="inlineStr">
        <is>
          <t>VÄSTRA GÖTALANDS LÄN</t>
        </is>
      </c>
      <c r="E32" t="inlineStr">
        <is>
          <t>MUNKEDAL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23065-2026 artfynd.xlsx", "A 23065-2026")</f>
        <v/>
      </c>
      <c r="T32">
        <f>HYPERLINK("https://klasma.github.io/Logging_1430/kartor/A 23065-2026 karta.png", "A 23065-2026")</f>
        <v/>
      </c>
      <c r="V32">
        <f>HYPERLINK("https://klasma.github.io/Logging_1430/klagomål/A 23065-2026 FSC-klagomål.docx", "A 23065-2026")</f>
        <v/>
      </c>
      <c r="W32">
        <f>HYPERLINK("https://klasma.github.io/Logging_1430/klagomålsmail/A 23065-2026 FSC-klagomål mail.docx", "A 23065-2026")</f>
        <v/>
      </c>
      <c r="X32">
        <f>HYPERLINK("https://klasma.github.io/Logging_1430/tillsyn/A 23065-2026 tillsynsbegäran.docx", "A 23065-2026")</f>
        <v/>
      </c>
      <c r="Y32">
        <f>HYPERLINK("https://klasma.github.io/Logging_1430/tillsynsmail/A 23065-2026 tillsynsbegäran mail.docx", "A 23065-2026")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46200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46200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46200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46200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46200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46200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46200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46200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46200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46200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46200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46200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46200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46200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46200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46200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51431-2022</t>
        </is>
      </c>
      <c r="B49" s="1" t="n">
        <v>44866</v>
      </c>
      <c r="C49" s="1" t="n">
        <v>46200</v>
      </c>
      <c r="D49" t="inlineStr">
        <is>
          <t>VÄSTRA GÖTALANDS LÄN</t>
        </is>
      </c>
      <c r="E49" t="inlineStr">
        <is>
          <t>MUNKEDAL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39112-2021</t>
        </is>
      </c>
      <c r="B50" s="1" t="n">
        <v>44412</v>
      </c>
      <c r="C50" s="1" t="n">
        <v>46200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37330-2022</t>
        </is>
      </c>
      <c r="B51" s="1" t="n">
        <v>44806</v>
      </c>
      <c r="C51" s="1" t="n">
        <v>46200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43360-2022</t>
        </is>
      </c>
      <c r="B52" s="1" t="n">
        <v>44834</v>
      </c>
      <c r="C52" s="1" t="n">
        <v>46200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50650-2021</t>
        </is>
      </c>
      <c r="B53" s="1" t="n">
        <v>44459</v>
      </c>
      <c r="C53" s="1" t="n">
        <v>46200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51407-2022</t>
        </is>
      </c>
      <c r="B54" s="1" t="n">
        <v>44866</v>
      </c>
      <c r="C54" s="1" t="n">
        <v>46200</v>
      </c>
      <c r="D54" t="inlineStr">
        <is>
          <t>VÄSTRA GÖTALANDS LÄN</t>
        </is>
      </c>
      <c r="E54" t="inlineStr">
        <is>
          <t>MUNKEDAL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46200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50336-2021</t>
        </is>
      </c>
      <c r="B56" s="1" t="n">
        <v>44459</v>
      </c>
      <c r="C56" s="1" t="n">
        <v>46200</v>
      </c>
      <c r="D56" t="inlineStr">
        <is>
          <t>VÄSTRA GÖTALANDS LÄN</t>
        </is>
      </c>
      <c r="E56" t="inlineStr">
        <is>
          <t>MUNKEDAL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17971-2022</t>
        </is>
      </c>
      <c r="B57" s="1" t="n">
        <v>44683</v>
      </c>
      <c r="C57" s="1" t="n">
        <v>46200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68596-2021</t>
        </is>
      </c>
      <c r="B58" s="1" t="n">
        <v>44529</v>
      </c>
      <c r="C58" s="1" t="n">
        <v>46200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46200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45150-2021</t>
        </is>
      </c>
      <c r="B60" s="1" t="n">
        <v>44439</v>
      </c>
      <c r="C60" s="1" t="n">
        <v>46200</v>
      </c>
      <c r="D60" t="inlineStr">
        <is>
          <t>VÄSTRA GÖTALANDS LÄN</t>
        </is>
      </c>
      <c r="E60" t="inlineStr">
        <is>
          <t>MUNKEDAL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45222-2021</t>
        </is>
      </c>
      <c r="B61" s="1" t="n">
        <v>44439</v>
      </c>
      <c r="C61" s="1" t="n">
        <v>46200</v>
      </c>
      <c r="D61" t="inlineStr">
        <is>
          <t>VÄSTRA GÖTALANDS LÄN</t>
        </is>
      </c>
      <c r="E61" t="inlineStr">
        <is>
          <t>MUNKEDAL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8185-2022</t>
        </is>
      </c>
      <c r="B62" s="1" t="n">
        <v>44609</v>
      </c>
      <c r="C62" s="1" t="n">
        <v>46200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35449-2021</t>
        </is>
      </c>
      <c r="B63" s="1" t="n">
        <v>44385</v>
      </c>
      <c r="C63" s="1" t="n">
        <v>46200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46418-2024</t>
        </is>
      </c>
      <c r="B64" s="1" t="n">
        <v>45582</v>
      </c>
      <c r="C64" s="1" t="n">
        <v>46200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38842-2024</t>
        </is>
      </c>
      <c r="B65" s="1" t="n">
        <v>45547</v>
      </c>
      <c r="C65" s="1" t="n">
        <v>46200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21129-2022</t>
        </is>
      </c>
      <c r="B66" s="1" t="n">
        <v>44704</v>
      </c>
      <c r="C66" s="1" t="n">
        <v>46200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20251-2022</t>
        </is>
      </c>
      <c r="B67" s="1" t="n">
        <v>44698</v>
      </c>
      <c r="C67" s="1" t="n">
        <v>46200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35647-2023</t>
        </is>
      </c>
      <c r="B68" s="1" t="n">
        <v>45147</v>
      </c>
      <c r="C68" s="1" t="n">
        <v>46200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421-2023</t>
        </is>
      </c>
      <c r="B69" s="1" t="n">
        <v>44929</v>
      </c>
      <c r="C69" s="1" t="n">
        <v>46200</v>
      </c>
      <c r="D69" t="inlineStr">
        <is>
          <t>VÄSTRA GÖTALANDS LÄN</t>
        </is>
      </c>
      <c r="E69" t="inlineStr">
        <is>
          <t>MUNKEDAL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58066-2021</t>
        </is>
      </c>
      <c r="B70" s="1" t="n">
        <v>44487</v>
      </c>
      <c r="C70" s="1" t="n">
        <v>46200</v>
      </c>
      <c r="D70" t="inlineStr">
        <is>
          <t>VÄSTRA GÖTALANDS LÄN</t>
        </is>
      </c>
      <c r="E70" t="inlineStr">
        <is>
          <t>MUNKEDAL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3708-2024</t>
        </is>
      </c>
      <c r="B71" s="1" t="n">
        <v>45321</v>
      </c>
      <c r="C71" s="1" t="n">
        <v>46200</v>
      </c>
      <c r="D71" t="inlineStr">
        <is>
          <t>VÄSTRA GÖTALANDS LÄN</t>
        </is>
      </c>
      <c r="E71" t="inlineStr">
        <is>
          <t>MUNKEDAL</t>
        </is>
      </c>
      <c r="G71" t="n">
        <v>20.2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49574-2024</t>
        </is>
      </c>
      <c r="B72" s="1" t="n">
        <v>45596</v>
      </c>
      <c r="C72" s="1" t="n">
        <v>46200</v>
      </c>
      <c r="D72" t="inlineStr">
        <is>
          <t>VÄSTRA GÖTALANDS LÄN</t>
        </is>
      </c>
      <c r="E72" t="inlineStr">
        <is>
          <t>MUNKEDAL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49576-2024</t>
        </is>
      </c>
      <c r="B73" s="1" t="n">
        <v>45596</v>
      </c>
      <c r="C73" s="1" t="n">
        <v>46200</v>
      </c>
      <c r="D73" t="inlineStr">
        <is>
          <t>VÄSTRA GÖTALANDS LÄN</t>
        </is>
      </c>
      <c r="E73" t="inlineStr">
        <is>
          <t>MUNKEDAL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3134-2025</t>
        </is>
      </c>
      <c r="B74" s="1" t="n">
        <v>45678</v>
      </c>
      <c r="C74" s="1" t="n">
        <v>46200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29956-2024</t>
        </is>
      </c>
      <c r="B75" s="1" t="n">
        <v>45488</v>
      </c>
      <c r="C75" s="1" t="n">
        <v>46200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29959-2024</t>
        </is>
      </c>
      <c r="B76" s="1" t="n">
        <v>45488</v>
      </c>
      <c r="C76" s="1" t="n">
        <v>46200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2483-2022</t>
        </is>
      </c>
      <c r="B77" s="1" t="n">
        <v>44579</v>
      </c>
      <c r="C77" s="1" t="n">
        <v>46200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35139-2023</t>
        </is>
      </c>
      <c r="B78" s="1" t="n">
        <v>45145</v>
      </c>
      <c r="C78" s="1" t="n">
        <v>46200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59150-2022</t>
        </is>
      </c>
      <c r="B79" s="1" t="n">
        <v>44897</v>
      </c>
      <c r="C79" s="1" t="n">
        <v>46200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6197-2023</t>
        </is>
      </c>
      <c r="B80" s="1" t="n">
        <v>44964</v>
      </c>
      <c r="C80" s="1" t="n">
        <v>46200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22452-2023</t>
        </is>
      </c>
      <c r="B81" s="1" t="n">
        <v>45070</v>
      </c>
      <c r="C81" s="1" t="n">
        <v>46200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15466-2025</t>
        </is>
      </c>
      <c r="B82" s="1" t="n">
        <v>45747</v>
      </c>
      <c r="C82" s="1" t="n">
        <v>46200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1576-2024</t>
        </is>
      </c>
      <c r="B83" s="1" t="n">
        <v>45306</v>
      </c>
      <c r="C83" s="1" t="n">
        <v>46200</v>
      </c>
      <c r="D83" t="inlineStr">
        <is>
          <t>VÄSTRA GÖTALANDS LÄN</t>
        </is>
      </c>
      <c r="E83" t="inlineStr">
        <is>
          <t>MUNKEDAL</t>
        </is>
      </c>
      <c r="G83" t="n">
        <v>25.2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11525-2023</t>
        </is>
      </c>
      <c r="B84" s="1" t="n">
        <v>44993</v>
      </c>
      <c r="C84" s="1" t="n">
        <v>46200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3858-2024</t>
        </is>
      </c>
      <c r="B85" s="1" t="n">
        <v>45322</v>
      </c>
      <c r="C85" s="1" t="n">
        <v>46200</v>
      </c>
      <c r="D85" t="inlineStr">
        <is>
          <t>VÄSTRA GÖTALANDS LÄN</t>
        </is>
      </c>
      <c r="E85" t="inlineStr">
        <is>
          <t>MUNKEDAL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27644-2023</t>
        </is>
      </c>
      <c r="B86" s="1" t="n">
        <v>45097</v>
      </c>
      <c r="C86" s="1" t="n">
        <v>46200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56789-2021</t>
        </is>
      </c>
      <c r="B87" s="1" t="n">
        <v>44481</v>
      </c>
      <c r="C87" s="1" t="n">
        <v>46200</v>
      </c>
      <c r="D87" t="inlineStr">
        <is>
          <t>VÄSTRA GÖTALANDS LÄN</t>
        </is>
      </c>
      <c r="E87" t="inlineStr">
        <is>
          <t>MUNKEDAL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19361-2023</t>
        </is>
      </c>
      <c r="B88" s="1" t="n">
        <v>45049</v>
      </c>
      <c r="C88" s="1" t="n">
        <v>46200</v>
      </c>
      <c r="D88" t="inlineStr">
        <is>
          <t>VÄSTRA GÖTALANDS LÄN</t>
        </is>
      </c>
      <c r="E88" t="inlineStr">
        <is>
          <t>MUNKEDAL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5139-2022</t>
        </is>
      </c>
      <c r="B89" s="1" t="n">
        <v>44593</v>
      </c>
      <c r="C89" s="1" t="n">
        <v>46200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60228-2024</t>
        </is>
      </c>
      <c r="B90" s="1" t="n">
        <v>45640</v>
      </c>
      <c r="C90" s="1" t="n">
        <v>46200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1559-2023</t>
        </is>
      </c>
      <c r="B91" s="1" t="n">
        <v>44937</v>
      </c>
      <c r="C91" s="1" t="n">
        <v>46200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17338-2022</t>
        </is>
      </c>
      <c r="B92" s="1" t="n">
        <v>44678</v>
      </c>
      <c r="C92" s="1" t="n">
        <v>46200</v>
      </c>
      <c r="D92" t="inlineStr">
        <is>
          <t>VÄSTRA GÖTALANDS LÄN</t>
        </is>
      </c>
      <c r="E92" t="inlineStr">
        <is>
          <t>MUNKEDAL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15300-2024</t>
        </is>
      </c>
      <c r="B93" s="1" t="n">
        <v>45400</v>
      </c>
      <c r="C93" s="1" t="n">
        <v>46200</v>
      </c>
      <c r="D93" t="inlineStr">
        <is>
          <t>VÄSTRA GÖTALANDS LÄN</t>
        </is>
      </c>
      <c r="E93" t="inlineStr">
        <is>
          <t>MUNKEDAL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54760-2024</t>
        </is>
      </c>
      <c r="B94" s="1" t="n">
        <v>45618</v>
      </c>
      <c r="C94" s="1" t="n">
        <v>46200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54518-2023</t>
        </is>
      </c>
      <c r="B95" s="1" t="n">
        <v>45233</v>
      </c>
      <c r="C95" s="1" t="n">
        <v>46200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54955-2024</t>
        </is>
      </c>
      <c r="B96" s="1" t="n">
        <v>45619</v>
      </c>
      <c r="C96" s="1" t="n">
        <v>46200</v>
      </c>
      <c r="D96" t="inlineStr">
        <is>
          <t>VÄSTRA GÖTALANDS LÄN</t>
        </is>
      </c>
      <c r="E96" t="inlineStr">
        <is>
          <t>MUNKEDAL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58251-2024</t>
        </is>
      </c>
      <c r="B97" s="1" t="n">
        <v>45631</v>
      </c>
      <c r="C97" s="1" t="n">
        <v>46200</v>
      </c>
      <c r="D97" t="inlineStr">
        <is>
          <t>VÄSTRA GÖTALANDS LÄN</t>
        </is>
      </c>
      <c r="E97" t="inlineStr">
        <is>
          <t>MUNKEDAL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38164-2022</t>
        </is>
      </c>
      <c r="B98" s="1" t="n">
        <v>44812</v>
      </c>
      <c r="C98" s="1" t="n">
        <v>46200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46200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53891-2023</t>
        </is>
      </c>
      <c r="B100" s="1" t="n">
        <v>45231</v>
      </c>
      <c r="C100" s="1" t="n">
        <v>46200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28678-2024</t>
        </is>
      </c>
      <c r="B101" s="1" t="n">
        <v>45478</v>
      </c>
      <c r="C101" s="1" t="n">
        <v>46200</v>
      </c>
      <c r="D101" t="inlineStr">
        <is>
          <t>VÄSTRA GÖTALANDS LÄN</t>
        </is>
      </c>
      <c r="E101" t="inlineStr">
        <is>
          <t>MUNKEDAL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54815-2024</t>
        </is>
      </c>
      <c r="B102" s="1" t="n">
        <v>45618</v>
      </c>
      <c r="C102" s="1" t="n">
        <v>46200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46200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2954-2025</t>
        </is>
      </c>
      <c r="B104" s="1" t="n">
        <v>45678</v>
      </c>
      <c r="C104" s="1" t="n">
        <v>46200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47675-2023</t>
        </is>
      </c>
      <c r="B105" s="1" t="n">
        <v>45203</v>
      </c>
      <c r="C105" s="1" t="n">
        <v>46200</v>
      </c>
      <c r="D105" t="inlineStr">
        <is>
          <t>VÄSTRA GÖTALANDS LÄN</t>
        </is>
      </c>
      <c r="E105" t="inlineStr">
        <is>
          <t>MUNKEDAL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62331-2023</t>
        </is>
      </c>
      <c r="B106" s="1" t="n">
        <v>45267</v>
      </c>
      <c r="C106" s="1" t="n">
        <v>46200</v>
      </c>
      <c r="D106" t="inlineStr">
        <is>
          <t>VÄSTRA GÖTALANDS LÄN</t>
        </is>
      </c>
      <c r="E106" t="inlineStr">
        <is>
          <t>MUNKEDAL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56892-2023</t>
        </is>
      </c>
      <c r="B107" s="1" t="n">
        <v>45244</v>
      </c>
      <c r="C107" s="1" t="n">
        <v>46200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24088-2024</t>
        </is>
      </c>
      <c r="B108" s="1" t="n">
        <v>45456</v>
      </c>
      <c r="C108" s="1" t="n">
        <v>46200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44267-2024</t>
        </is>
      </c>
      <c r="B109" s="1" t="n">
        <v>45573</v>
      </c>
      <c r="C109" s="1" t="n">
        <v>46200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4029-2025</t>
        </is>
      </c>
      <c r="B110" s="1" t="n">
        <v>45684</v>
      </c>
      <c r="C110" s="1" t="n">
        <v>46200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216-2024</t>
        </is>
      </c>
      <c r="B111" s="1" t="n">
        <v>45293</v>
      </c>
      <c r="C111" s="1" t="n">
        <v>46200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21625-2023</t>
        </is>
      </c>
      <c r="B112" s="1" t="n">
        <v>45063</v>
      </c>
      <c r="C112" s="1" t="n">
        <v>46200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35814-2023</t>
        </is>
      </c>
      <c r="B113" s="1" t="n">
        <v>45148</v>
      </c>
      <c r="C113" s="1" t="n">
        <v>46200</v>
      </c>
      <c r="D113" t="inlineStr">
        <is>
          <t>VÄSTRA GÖTALANDS LÄN</t>
        </is>
      </c>
      <c r="E113" t="inlineStr">
        <is>
          <t>MUNKEDAL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19887-2022</t>
        </is>
      </c>
      <c r="B114" s="1" t="n">
        <v>44697</v>
      </c>
      <c r="C114" s="1" t="n">
        <v>46200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15853-2023</t>
        </is>
      </c>
      <c r="B115" s="1" t="n">
        <v>45022</v>
      </c>
      <c r="C115" s="1" t="n">
        <v>46200</v>
      </c>
      <c r="D115" t="inlineStr">
        <is>
          <t>VÄSTRA GÖTALANDS LÄN</t>
        </is>
      </c>
      <c r="E115" t="inlineStr">
        <is>
          <t>MUNKEDAL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55183-2024</t>
        </is>
      </c>
      <c r="B116" s="1" t="n">
        <v>45620</v>
      </c>
      <c r="C116" s="1" t="n">
        <v>46200</v>
      </c>
      <c r="D116" t="inlineStr">
        <is>
          <t>VÄSTRA GÖTALANDS LÄN</t>
        </is>
      </c>
      <c r="E116" t="inlineStr">
        <is>
          <t>MUNKEDAL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28692-2024</t>
        </is>
      </c>
      <c r="B117" s="1" t="n">
        <v>45478</v>
      </c>
      <c r="C117" s="1" t="n">
        <v>46200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6217-2024</t>
        </is>
      </c>
      <c r="B118" s="1" t="n">
        <v>45337</v>
      </c>
      <c r="C118" s="1" t="n">
        <v>46200</v>
      </c>
      <c r="D118" t="inlineStr">
        <is>
          <t>VÄSTRA GÖTALANDS LÄN</t>
        </is>
      </c>
      <c r="E118" t="inlineStr">
        <is>
          <t>MUNKEDAL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22857-2022</t>
        </is>
      </c>
      <c r="B119" s="1" t="n">
        <v>44715</v>
      </c>
      <c r="C119" s="1" t="n">
        <v>46200</v>
      </c>
      <c r="D119" t="inlineStr">
        <is>
          <t>VÄSTRA GÖTALANDS LÄN</t>
        </is>
      </c>
      <c r="E119" t="inlineStr">
        <is>
          <t>MUNKEDAL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11268-2024</t>
        </is>
      </c>
      <c r="B120" s="1" t="n">
        <v>45371</v>
      </c>
      <c r="C120" s="1" t="n">
        <v>46200</v>
      </c>
      <c r="D120" t="inlineStr">
        <is>
          <t>VÄSTRA GÖTALANDS LÄN</t>
        </is>
      </c>
      <c r="E120" t="inlineStr">
        <is>
          <t>MUNKEDAL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36891-2023</t>
        </is>
      </c>
      <c r="B121" s="1" t="n">
        <v>45154</v>
      </c>
      <c r="C121" s="1" t="n">
        <v>46200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46200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15555-2024</t>
        </is>
      </c>
      <c r="B123" s="1" t="n">
        <v>45401</v>
      </c>
      <c r="C123" s="1" t="n">
        <v>46200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39163-2023</t>
        </is>
      </c>
      <c r="B124" s="1" t="n">
        <v>45166</v>
      </c>
      <c r="C124" s="1" t="n">
        <v>46200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50038-2023</t>
        </is>
      </c>
      <c r="B125" s="1" t="n">
        <v>45215</v>
      </c>
      <c r="C125" s="1" t="n">
        <v>46200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16105-2025</t>
        </is>
      </c>
      <c r="B126" s="1" t="n">
        <v>45750</v>
      </c>
      <c r="C126" s="1" t="n">
        <v>46200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62090-2023</t>
        </is>
      </c>
      <c r="B127" s="1" t="n">
        <v>45266</v>
      </c>
      <c r="C127" s="1" t="n">
        <v>46200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47378-2021</t>
        </is>
      </c>
      <c r="B128" s="1" t="n">
        <v>44447</v>
      </c>
      <c r="C128" s="1" t="n">
        <v>46200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59257-2024</t>
        </is>
      </c>
      <c r="B129" s="1" t="n">
        <v>45636</v>
      </c>
      <c r="C129" s="1" t="n">
        <v>46200</v>
      </c>
      <c r="D129" t="inlineStr">
        <is>
          <t>VÄSTRA GÖTALANDS LÄN</t>
        </is>
      </c>
      <c r="E129" t="inlineStr">
        <is>
          <t>MUNKEDAL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30555-2023</t>
        </is>
      </c>
      <c r="B130" s="1" t="n">
        <v>45111</v>
      </c>
      <c r="C130" s="1" t="n">
        <v>46200</v>
      </c>
      <c r="D130" t="inlineStr">
        <is>
          <t>VÄSTRA GÖTALANDS LÄN</t>
        </is>
      </c>
      <c r="E130" t="inlineStr">
        <is>
          <t>MUNKEDAL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</v>
      </c>
      <c r="C131" s="1" t="n">
        <v>46200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53888-2023</t>
        </is>
      </c>
      <c r="B132" s="1" t="n">
        <v>45231</v>
      </c>
      <c r="C132" s="1" t="n">
        <v>46200</v>
      </c>
      <c r="D132" t="inlineStr">
        <is>
          <t>VÄSTRA GÖTALANDS LÄN</t>
        </is>
      </c>
      <c r="E132" t="inlineStr">
        <is>
          <t>MUNKEDAL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4259-2022</t>
        </is>
      </c>
      <c r="B133" s="1" t="n">
        <v>44588</v>
      </c>
      <c r="C133" s="1" t="n">
        <v>46200</v>
      </c>
      <c r="D133" t="inlineStr">
        <is>
          <t>VÄSTRA GÖTALANDS LÄN</t>
        </is>
      </c>
      <c r="E133" t="inlineStr">
        <is>
          <t>MUNKEDAL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</v>
      </c>
      <c r="C134" s="1" t="n">
        <v>46200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46200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28995-2022</t>
        </is>
      </c>
      <c r="B136" s="1" t="n">
        <v>44749</v>
      </c>
      <c r="C136" s="1" t="n">
        <v>46200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34222-2023</t>
        </is>
      </c>
      <c r="B137" s="1" t="n">
        <v>45138</v>
      </c>
      <c r="C137" s="1" t="n">
        <v>46200</v>
      </c>
      <c r="D137" t="inlineStr">
        <is>
          <t>VÄSTRA GÖTALANDS LÄN</t>
        </is>
      </c>
      <c r="E137" t="inlineStr">
        <is>
          <t>MUNKEDAL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49912-2023</t>
        </is>
      </c>
      <c r="B138" s="1" t="n">
        <v>45214</v>
      </c>
      <c r="C138" s="1" t="n">
        <v>46200</v>
      </c>
      <c r="D138" t="inlineStr">
        <is>
          <t>VÄSTRA GÖTALANDS LÄN</t>
        </is>
      </c>
      <c r="E138" t="inlineStr">
        <is>
          <t>MUNKEDAL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67233-2021</t>
        </is>
      </c>
      <c r="B139" s="1" t="n">
        <v>44523</v>
      </c>
      <c r="C139" s="1" t="n">
        <v>46200</v>
      </c>
      <c r="D139" t="inlineStr">
        <is>
          <t>VÄSTRA GÖTALANDS LÄN</t>
        </is>
      </c>
      <c r="E139" t="inlineStr">
        <is>
          <t>MUNKEDAL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16991-2025</t>
        </is>
      </c>
      <c r="B140" s="1" t="n">
        <v>45755</v>
      </c>
      <c r="C140" s="1" t="n">
        <v>46200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45165-2024</t>
        </is>
      </c>
      <c r="B141" s="1" t="n">
        <v>45575</v>
      </c>
      <c r="C141" s="1" t="n">
        <v>46200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Naturvårdsverket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29969-2024</t>
        </is>
      </c>
      <c r="B142" s="1" t="n">
        <v>45488</v>
      </c>
      <c r="C142" s="1" t="n">
        <v>46200</v>
      </c>
      <c r="D142" t="inlineStr">
        <is>
          <t>VÄSTRA GÖTALANDS LÄN</t>
        </is>
      </c>
      <c r="E142" t="inlineStr">
        <is>
          <t>MUNKEDAL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54001-2023</t>
        </is>
      </c>
      <c r="B143" s="1" t="n">
        <v>45231</v>
      </c>
      <c r="C143" s="1" t="n">
        <v>46200</v>
      </c>
      <c r="D143" t="inlineStr">
        <is>
          <t>VÄSTRA GÖTALANDS LÄN</t>
        </is>
      </c>
      <c r="E143" t="inlineStr">
        <is>
          <t>MUNKEDAL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61377-2023</t>
        </is>
      </c>
      <c r="B144" s="1" t="n">
        <v>45264</v>
      </c>
      <c r="C144" s="1" t="n">
        <v>46200</v>
      </c>
      <c r="D144" t="inlineStr">
        <is>
          <t>VÄSTRA GÖTALANDS LÄN</t>
        </is>
      </c>
      <c r="E144" t="inlineStr">
        <is>
          <t>MUNKEDAL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30308-2022</t>
        </is>
      </c>
      <c r="B145" s="1" t="n">
        <v>44760</v>
      </c>
      <c r="C145" s="1" t="n">
        <v>46200</v>
      </c>
      <c r="D145" t="inlineStr">
        <is>
          <t>VÄSTRA GÖTALANDS LÄN</t>
        </is>
      </c>
      <c r="E145" t="inlineStr">
        <is>
          <t>MUNKEDAL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28667-2022</t>
        </is>
      </c>
      <c r="B146" s="1" t="n">
        <v>44748</v>
      </c>
      <c r="C146" s="1" t="n">
        <v>46200</v>
      </c>
      <c r="D146" t="inlineStr">
        <is>
          <t>VÄSTRA GÖTALANDS LÄN</t>
        </is>
      </c>
      <c r="E146" t="inlineStr">
        <is>
          <t>MUNKEDAL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11425-2022</t>
        </is>
      </c>
      <c r="B147" s="1" t="n">
        <v>44630</v>
      </c>
      <c r="C147" s="1" t="n">
        <v>46200</v>
      </c>
      <c r="D147" t="inlineStr">
        <is>
          <t>VÄSTRA GÖTALANDS LÄN</t>
        </is>
      </c>
      <c r="E147" t="inlineStr">
        <is>
          <t>MUNKEDAL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24185-2023</t>
        </is>
      </c>
      <c r="B148" s="1" t="n">
        <v>45076</v>
      </c>
      <c r="C148" s="1" t="n">
        <v>46200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2635-2022</t>
        </is>
      </c>
      <c r="B149" s="1" t="n">
        <v>44580</v>
      </c>
      <c r="C149" s="1" t="n">
        <v>46200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52302-2022</t>
        </is>
      </c>
      <c r="B150" s="1" t="n">
        <v>44873</v>
      </c>
      <c r="C150" s="1" t="n">
        <v>46200</v>
      </c>
      <c r="D150" t="inlineStr">
        <is>
          <t>VÄSTRA GÖTALANDS LÄN</t>
        </is>
      </c>
      <c r="E150" t="inlineStr">
        <is>
          <t>MUNKEDAL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18159-2025</t>
        </is>
      </c>
      <c r="B151" s="1" t="n">
        <v>45761</v>
      </c>
      <c r="C151" s="1" t="n">
        <v>46200</v>
      </c>
      <c r="D151" t="inlineStr">
        <is>
          <t>VÄSTRA GÖTALANDS LÄN</t>
        </is>
      </c>
      <c r="E151" t="inlineStr">
        <is>
          <t>MUNKEDAL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13659-2025</t>
        </is>
      </c>
      <c r="B152" s="1" t="n">
        <v>45736</v>
      </c>
      <c r="C152" s="1" t="n">
        <v>46200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23871-2024</t>
        </is>
      </c>
      <c r="B153" s="1" t="n">
        <v>45455</v>
      </c>
      <c r="C153" s="1" t="n">
        <v>46200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9720-2024</t>
        </is>
      </c>
      <c r="B154" s="1" t="n">
        <v>45362</v>
      </c>
      <c r="C154" s="1" t="n">
        <v>46200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31350-2022</t>
        </is>
      </c>
      <c r="B155" s="1" t="n">
        <v>44774</v>
      </c>
      <c r="C155" s="1" t="n">
        <v>46200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42005-2023</t>
        </is>
      </c>
      <c r="B156" s="1" t="n">
        <v>45174</v>
      </c>
      <c r="C156" s="1" t="n">
        <v>46200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62098-2022</t>
        </is>
      </c>
      <c r="B157" s="1" t="n">
        <v>44920</v>
      </c>
      <c r="C157" s="1" t="n">
        <v>46200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62101-2022</t>
        </is>
      </c>
      <c r="B158" s="1" t="n">
        <v>44920</v>
      </c>
      <c r="C158" s="1" t="n">
        <v>46200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9746-2023</t>
        </is>
      </c>
      <c r="B159" s="1" t="n">
        <v>44984</v>
      </c>
      <c r="C159" s="1" t="n">
        <v>46200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13162-2023</t>
        </is>
      </c>
      <c r="B160" s="1" t="n">
        <v>45002</v>
      </c>
      <c r="C160" s="1" t="n">
        <v>46200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</v>
      </c>
      <c r="C161" s="1" t="n">
        <v>46200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44478-2023</t>
        </is>
      </c>
      <c r="B162" s="1" t="n">
        <v>45189</v>
      </c>
      <c r="C162" s="1" t="n">
        <v>46200</v>
      </c>
      <c r="D162" t="inlineStr">
        <is>
          <t>VÄSTRA GÖTALANDS LÄN</t>
        </is>
      </c>
      <c r="E162" t="inlineStr">
        <is>
          <t>MUNKEDAL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45123-2021</t>
        </is>
      </c>
      <c r="B163" s="1" t="n">
        <v>44439</v>
      </c>
      <c r="C163" s="1" t="n">
        <v>46200</v>
      </c>
      <c r="D163" t="inlineStr">
        <is>
          <t>VÄSTRA GÖTALANDS LÄN</t>
        </is>
      </c>
      <c r="E163" t="inlineStr">
        <is>
          <t>MUNKEDAL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46200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</v>
      </c>
      <c r="C165" s="1" t="n">
        <v>46200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46200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546-2024</t>
        </is>
      </c>
      <c r="B167" s="1" t="n">
        <v>45296</v>
      </c>
      <c r="C167" s="1" t="n">
        <v>46200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54930-2023</t>
        </is>
      </c>
      <c r="B168" s="1" t="n">
        <v>45229</v>
      </c>
      <c r="C168" s="1" t="n">
        <v>46200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51409-2022</t>
        </is>
      </c>
      <c r="B169" s="1" t="n">
        <v>44866</v>
      </c>
      <c r="C169" s="1" t="n">
        <v>46200</v>
      </c>
      <c r="D169" t="inlineStr">
        <is>
          <t>VÄSTRA GÖTALANDS LÄN</t>
        </is>
      </c>
      <c r="E169" t="inlineStr">
        <is>
          <t>MUNKEDAL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7389-2022</t>
        </is>
      </c>
      <c r="B170" s="1" t="n">
        <v>44606</v>
      </c>
      <c r="C170" s="1" t="n">
        <v>46200</v>
      </c>
      <c r="D170" t="inlineStr">
        <is>
          <t>VÄSTRA GÖTALANDS LÄN</t>
        </is>
      </c>
      <c r="E170" t="inlineStr">
        <is>
          <t>MUNKEDAL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9748-2023</t>
        </is>
      </c>
      <c r="B171" s="1" t="n">
        <v>44984</v>
      </c>
      <c r="C171" s="1" t="n">
        <v>46200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</v>
      </c>
      <c r="C172" s="1" t="n">
        <v>46200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37327-2022</t>
        </is>
      </c>
      <c r="B173" s="1" t="n">
        <v>44806</v>
      </c>
      <c r="C173" s="1" t="n">
        <v>46200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13303-2023</t>
        </is>
      </c>
      <c r="B174" s="1" t="n">
        <v>45005</v>
      </c>
      <c r="C174" s="1" t="n">
        <v>46200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41716-2024</t>
        </is>
      </c>
      <c r="B175" s="1" t="n">
        <v>45560</v>
      </c>
      <c r="C175" s="1" t="n">
        <v>46200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59171-2022</t>
        </is>
      </c>
      <c r="B176" s="1" t="n">
        <v>44897</v>
      </c>
      <c r="C176" s="1" t="n">
        <v>46200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26699-2024</t>
        </is>
      </c>
      <c r="B177" s="1" t="n">
        <v>45470</v>
      </c>
      <c r="C177" s="1" t="n">
        <v>46200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62463-2023</t>
        </is>
      </c>
      <c r="B178" s="1" t="n">
        <v>45268</v>
      </c>
      <c r="C178" s="1" t="n">
        <v>46200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19289-2025</t>
        </is>
      </c>
      <c r="B179" s="1" t="n">
        <v>45769</v>
      </c>
      <c r="C179" s="1" t="n">
        <v>46200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46200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33192-2023</t>
        </is>
      </c>
      <c r="B181" s="1" t="n">
        <v>45127</v>
      </c>
      <c r="C181" s="1" t="n">
        <v>46200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60230-2024</t>
        </is>
      </c>
      <c r="B182" s="1" t="n">
        <v>45640</v>
      </c>
      <c r="C182" s="1" t="n">
        <v>46200</v>
      </c>
      <c r="D182" t="inlineStr">
        <is>
          <t>VÄSTRA GÖTALANDS LÄN</t>
        </is>
      </c>
      <c r="E182" t="inlineStr">
        <is>
          <t>MUNKEDAL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3312-2024</t>
        </is>
      </c>
      <c r="B183" s="1" t="n">
        <v>45317</v>
      </c>
      <c r="C183" s="1" t="n">
        <v>46200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12243-2024</t>
        </is>
      </c>
      <c r="B184" s="1" t="n">
        <v>45378</v>
      </c>
      <c r="C184" s="1" t="n">
        <v>46200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3611-2023</t>
        </is>
      </c>
      <c r="B185" s="1" t="n">
        <v>44946</v>
      </c>
      <c r="C185" s="1" t="n">
        <v>46200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46440-2024</t>
        </is>
      </c>
      <c r="B186" s="1" t="n">
        <v>45582</v>
      </c>
      <c r="C186" s="1" t="n">
        <v>46200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2560-2025</t>
        </is>
      </c>
      <c r="B187" s="1" t="n">
        <v>45674</v>
      </c>
      <c r="C187" s="1" t="n">
        <v>46200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19631-2022</t>
        </is>
      </c>
      <c r="B188" s="1" t="n">
        <v>44694</v>
      </c>
      <c r="C188" s="1" t="n">
        <v>46200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5866-2023</t>
        </is>
      </c>
      <c r="B189" s="1" t="n">
        <v>44958</v>
      </c>
      <c r="C189" s="1" t="n">
        <v>46200</v>
      </c>
      <c r="D189" t="inlineStr">
        <is>
          <t>VÄSTRA GÖTALANDS LÄN</t>
        </is>
      </c>
      <c r="E189" t="inlineStr">
        <is>
          <t>MUNKEDAL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2545-2024</t>
        </is>
      </c>
      <c r="B190" s="1" t="n">
        <v>45313</v>
      </c>
      <c r="C190" s="1" t="n">
        <v>46200</v>
      </c>
      <c r="D190" t="inlineStr">
        <is>
          <t>VÄSTRA GÖTALANDS LÄN</t>
        </is>
      </c>
      <c r="E190" t="inlineStr">
        <is>
          <t>MUNKEDAL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56867-2024</t>
        </is>
      </c>
      <c r="B191" s="1" t="n">
        <v>45625</v>
      </c>
      <c r="C191" s="1" t="n">
        <v>46200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38544-2024</t>
        </is>
      </c>
      <c r="B192" s="1" t="n">
        <v>45546</v>
      </c>
      <c r="C192" s="1" t="n">
        <v>46200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41521-2023</t>
        </is>
      </c>
      <c r="B193" s="1" t="n">
        <v>45175</v>
      </c>
      <c r="C193" s="1" t="n">
        <v>46200</v>
      </c>
      <c r="D193" t="inlineStr">
        <is>
          <t>VÄSTRA GÖTALANDS LÄN</t>
        </is>
      </c>
      <c r="E193" t="inlineStr">
        <is>
          <t>MUNKEDAL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46200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1559-2025</t>
        </is>
      </c>
      <c r="B195" s="1" t="n">
        <v>45667</v>
      </c>
      <c r="C195" s="1" t="n">
        <v>46200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54875-2024</t>
        </is>
      </c>
      <c r="B196" s="1" t="n">
        <v>45618</v>
      </c>
      <c r="C196" s="1" t="n">
        <v>46200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40647-2024</t>
        </is>
      </c>
      <c r="B197" s="1" t="n">
        <v>45557</v>
      </c>
      <c r="C197" s="1" t="n">
        <v>46200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6723-2025</t>
        </is>
      </c>
      <c r="B198" s="1" t="n">
        <v>45700</v>
      </c>
      <c r="C198" s="1" t="n">
        <v>46200</v>
      </c>
      <c r="D198" t="inlineStr">
        <is>
          <t>VÄSTRA GÖTALANDS LÄN</t>
        </is>
      </c>
      <c r="E198" t="inlineStr">
        <is>
          <t>MUNKEDAL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912-2025</t>
        </is>
      </c>
      <c r="B199" s="1" t="n">
        <v>45664</v>
      </c>
      <c r="C199" s="1" t="n">
        <v>46200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448-2024</t>
        </is>
      </c>
      <c r="B200" s="1" t="n">
        <v>45296</v>
      </c>
      <c r="C200" s="1" t="n">
        <v>46200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45469-2023</t>
        </is>
      </c>
      <c r="B201" s="1" t="n">
        <v>45188</v>
      </c>
      <c r="C201" s="1" t="n">
        <v>46200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33925-2024</t>
        </is>
      </c>
      <c r="B202" s="1" t="n">
        <v>45522</v>
      </c>
      <c r="C202" s="1" t="n">
        <v>46200</v>
      </c>
      <c r="D202" t="inlineStr">
        <is>
          <t>VÄSTRA GÖTALANDS LÄN</t>
        </is>
      </c>
      <c r="E202" t="inlineStr">
        <is>
          <t>MUNKEDAL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447-2024</t>
        </is>
      </c>
      <c r="B203" s="1" t="n">
        <v>45296</v>
      </c>
      <c r="C203" s="1" t="n">
        <v>46200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</v>
      </c>
      <c r="C204" s="1" t="n">
        <v>46200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</v>
      </c>
      <c r="C205" s="1" t="n">
        <v>46200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4362-2024</t>
        </is>
      </c>
      <c r="B206" s="1" t="n">
        <v>45325</v>
      </c>
      <c r="C206" s="1" t="n">
        <v>46200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29305-2025</t>
        </is>
      </c>
      <c r="B207" s="1" t="n">
        <v>45824</v>
      </c>
      <c r="C207" s="1" t="n">
        <v>46200</v>
      </c>
      <c r="D207" t="inlineStr">
        <is>
          <t>VÄSTRA GÖTALANDS LÄN</t>
        </is>
      </c>
      <c r="E207" t="inlineStr">
        <is>
          <t>MUNKEDAL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30031-2025</t>
        </is>
      </c>
      <c r="B208" s="1" t="n">
        <v>45826</v>
      </c>
      <c r="C208" s="1" t="n">
        <v>46200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30614-2025</t>
        </is>
      </c>
      <c r="B209" s="1" t="n">
        <v>45831</v>
      </c>
      <c r="C209" s="1" t="n">
        <v>46200</v>
      </c>
      <c r="D209" t="inlineStr">
        <is>
          <t>VÄSTRA GÖTALANDS LÄN</t>
        </is>
      </c>
      <c r="E209" t="inlineStr">
        <is>
          <t>MUNKEDAL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35645-2023</t>
        </is>
      </c>
      <c r="B210" s="1" t="n">
        <v>45147</v>
      </c>
      <c r="C210" s="1" t="n">
        <v>46200</v>
      </c>
      <c r="D210" t="inlineStr">
        <is>
          <t>VÄSTRA GÖTALANDS LÄN</t>
        </is>
      </c>
      <c r="E210" t="inlineStr">
        <is>
          <t>MUNKEDAL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33194-2023</t>
        </is>
      </c>
      <c r="B211" s="1" t="n">
        <v>45127</v>
      </c>
      <c r="C211" s="1" t="n">
        <v>46200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1553-2025</t>
        </is>
      </c>
      <c r="B212" s="1" t="n">
        <v>45667</v>
      </c>
      <c r="C212" s="1" t="n">
        <v>46200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17136-2025</t>
        </is>
      </c>
      <c r="B213" s="1" t="n">
        <v>45755</v>
      </c>
      <c r="C213" s="1" t="n">
        <v>46200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31176-2025</t>
        </is>
      </c>
      <c r="B214" s="1" t="n">
        <v>45831</v>
      </c>
      <c r="C214" s="1" t="n">
        <v>46200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53839-2021</t>
        </is>
      </c>
      <c r="B215" s="1" t="n">
        <v>44467</v>
      </c>
      <c r="C215" s="1" t="n">
        <v>46200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54933-2024</t>
        </is>
      </c>
      <c r="B216" s="1" t="n">
        <v>45618</v>
      </c>
      <c r="C216" s="1" t="n">
        <v>46200</v>
      </c>
      <c r="D216" t="inlineStr">
        <is>
          <t>VÄSTRA GÖTALANDS LÄN</t>
        </is>
      </c>
      <c r="E216" t="inlineStr">
        <is>
          <t>MUNKEDAL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27850-2023</t>
        </is>
      </c>
      <c r="B217" s="1" t="n">
        <v>45093</v>
      </c>
      <c r="C217" s="1" t="n">
        <v>46200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44620-2021</t>
        </is>
      </c>
      <c r="B218" s="1" t="n">
        <v>44436</v>
      </c>
      <c r="C218" s="1" t="n">
        <v>46200</v>
      </c>
      <c r="D218" t="inlineStr">
        <is>
          <t>VÄSTRA GÖTALANDS LÄN</t>
        </is>
      </c>
      <c r="E218" t="inlineStr">
        <is>
          <t>MUNKEDAL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49218-2022</t>
        </is>
      </c>
      <c r="B219" s="1" t="n">
        <v>44861</v>
      </c>
      <c r="C219" s="1" t="n">
        <v>46200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18278-2025</t>
        </is>
      </c>
      <c r="B220" s="1" t="n">
        <v>45762</v>
      </c>
      <c r="C220" s="1" t="n">
        <v>46200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34083-2025</t>
        </is>
      </c>
      <c r="B221" s="1" t="n">
        <v>45845</v>
      </c>
      <c r="C221" s="1" t="n">
        <v>46200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36906-2023</t>
        </is>
      </c>
      <c r="B222" s="1" t="n">
        <v>45153</v>
      </c>
      <c r="C222" s="1" t="n">
        <v>46200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34080-2025</t>
        </is>
      </c>
      <c r="B223" s="1" t="n">
        <v>45845</v>
      </c>
      <c r="C223" s="1" t="n">
        <v>46200</v>
      </c>
      <c r="D223" t="inlineStr">
        <is>
          <t>VÄSTRA GÖTALANDS LÄN</t>
        </is>
      </c>
      <c r="E223" t="inlineStr">
        <is>
          <t>MUNKEDAL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9021-2024</t>
        </is>
      </c>
      <c r="B224" s="1" t="n">
        <v>45356</v>
      </c>
      <c r="C224" s="1" t="n">
        <v>46200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56639-2024</t>
        </is>
      </c>
      <c r="B225" s="1" t="n">
        <v>45625</v>
      </c>
      <c r="C225" s="1" t="n">
        <v>46200</v>
      </c>
      <c r="D225" t="inlineStr">
        <is>
          <t>VÄSTRA GÖTALANDS LÄN</t>
        </is>
      </c>
      <c r="E225" t="inlineStr">
        <is>
          <t>MUNKEDAL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</v>
      </c>
      <c r="C226" s="1" t="n">
        <v>46200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</v>
      </c>
      <c r="C227" s="1" t="n">
        <v>46200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11262-2024</t>
        </is>
      </c>
      <c r="B228" s="1" t="n">
        <v>45371</v>
      </c>
      <c r="C228" s="1" t="n">
        <v>46200</v>
      </c>
      <c r="D228" t="inlineStr">
        <is>
          <t>VÄSTRA GÖTALANDS LÄN</t>
        </is>
      </c>
      <c r="E228" t="inlineStr">
        <is>
          <t>MUNKEDAL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61885-2023</t>
        </is>
      </c>
      <c r="B229" s="1" t="n">
        <v>45264</v>
      </c>
      <c r="C229" s="1" t="n">
        <v>46200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37941-2023</t>
        </is>
      </c>
      <c r="B230" s="1" t="n">
        <v>45160</v>
      </c>
      <c r="C230" s="1" t="n">
        <v>46200</v>
      </c>
      <c r="D230" t="inlineStr">
        <is>
          <t>VÄSTRA GÖTALANDS LÄN</t>
        </is>
      </c>
      <c r="E230" t="inlineStr">
        <is>
          <t>MUNKEDAL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34978-2025</t>
        </is>
      </c>
      <c r="B231" s="1" t="n">
        <v>45849</v>
      </c>
      <c r="C231" s="1" t="n">
        <v>46200</v>
      </c>
      <c r="D231" t="inlineStr">
        <is>
          <t>VÄSTRA GÖTALANDS LÄN</t>
        </is>
      </c>
      <c r="E231" t="inlineStr">
        <is>
          <t>MUNKEDAL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46200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43438-2021</t>
        </is>
      </c>
      <c r="B233" s="1" t="n">
        <v>44432</v>
      </c>
      <c r="C233" s="1" t="n">
        <v>46200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43547-2021</t>
        </is>
      </c>
      <c r="B234" s="1" t="n">
        <v>44432</v>
      </c>
      <c r="C234" s="1" t="n">
        <v>46200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17678-2024</t>
        </is>
      </c>
      <c r="B235" s="1" t="n">
        <v>45418</v>
      </c>
      <c r="C235" s="1" t="n">
        <v>46200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21125-2022</t>
        </is>
      </c>
      <c r="B236" s="1" t="n">
        <v>44704</v>
      </c>
      <c r="C236" s="1" t="n">
        <v>46200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16968-2025</t>
        </is>
      </c>
      <c r="B237" s="1" t="n">
        <v>45755</v>
      </c>
      <c r="C237" s="1" t="n">
        <v>46200</v>
      </c>
      <c r="D237" t="inlineStr">
        <is>
          <t>VÄSTRA GÖTALANDS LÄN</t>
        </is>
      </c>
      <c r="E237" t="inlineStr">
        <is>
          <t>MUNKEDAL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53514-2024</t>
        </is>
      </c>
      <c r="B238" s="1" t="n">
        <v>45614</v>
      </c>
      <c r="C238" s="1" t="n">
        <v>46200</v>
      </c>
      <c r="D238" t="inlineStr">
        <is>
          <t>VÄSTRA GÖTALANDS LÄN</t>
        </is>
      </c>
      <c r="E238" t="inlineStr">
        <is>
          <t>MUNKEDAL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30131-2024</t>
        </is>
      </c>
      <c r="B239" s="1" t="n">
        <v>45489</v>
      </c>
      <c r="C239" s="1" t="n">
        <v>46200</v>
      </c>
      <c r="D239" t="inlineStr">
        <is>
          <t>VÄSTRA GÖTALANDS LÄN</t>
        </is>
      </c>
      <c r="E239" t="inlineStr">
        <is>
          <t>MUNKEDAL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32300-2023</t>
        </is>
      </c>
      <c r="B240" s="1" t="n">
        <v>45120</v>
      </c>
      <c r="C240" s="1" t="n">
        <v>46200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35999-2025</t>
        </is>
      </c>
      <c r="B241" s="1" t="n">
        <v>45863</v>
      </c>
      <c r="C241" s="1" t="n">
        <v>46200</v>
      </c>
      <c r="D241" t="inlineStr">
        <is>
          <t>VÄSTRA GÖTALANDS LÄN</t>
        </is>
      </c>
      <c r="E241" t="inlineStr">
        <is>
          <t>MUNKEDAL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46434-2024</t>
        </is>
      </c>
      <c r="B242" s="1" t="n">
        <v>45582</v>
      </c>
      <c r="C242" s="1" t="n">
        <v>46200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8561-2024</t>
        </is>
      </c>
      <c r="B243" s="1" t="n">
        <v>45351</v>
      </c>
      <c r="C243" s="1" t="n">
        <v>46200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14339-2024</t>
        </is>
      </c>
      <c r="B244" s="1" t="n">
        <v>45393</v>
      </c>
      <c r="C244" s="1" t="n">
        <v>46200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41714-2024</t>
        </is>
      </c>
      <c r="B245" s="1" t="n">
        <v>45560</v>
      </c>
      <c r="C245" s="1" t="n">
        <v>46200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61584-2023</t>
        </is>
      </c>
      <c r="B246" s="1" t="n">
        <v>45261</v>
      </c>
      <c r="C246" s="1" t="n">
        <v>46200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21086-2025</t>
        </is>
      </c>
      <c r="B247" s="1" t="n">
        <v>45777</v>
      </c>
      <c r="C247" s="1" t="n">
        <v>46200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53255-2024</t>
        </is>
      </c>
      <c r="B248" s="1" t="n">
        <v>45614</v>
      </c>
      <c r="C248" s="1" t="n">
        <v>46200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59160-2022</t>
        </is>
      </c>
      <c r="B249" s="1" t="n">
        <v>44897</v>
      </c>
      <c r="C249" s="1" t="n">
        <v>46200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29588-2024</t>
        </is>
      </c>
      <c r="B250" s="1" t="n">
        <v>45484</v>
      </c>
      <c r="C250" s="1" t="n">
        <v>46200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8576-2025</t>
        </is>
      </c>
      <c r="B251" s="1" t="n">
        <v>45709</v>
      </c>
      <c r="C251" s="1" t="n">
        <v>46200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21063-2025</t>
        </is>
      </c>
      <c r="B252" s="1" t="n">
        <v>45777</v>
      </c>
      <c r="C252" s="1" t="n">
        <v>46200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</v>
      </c>
      <c r="C253" s="1" t="n">
        <v>46200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21134-2025</t>
        </is>
      </c>
      <c r="B254" s="1" t="n">
        <v>45778</v>
      </c>
      <c r="C254" s="1" t="n">
        <v>46200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21135-2025</t>
        </is>
      </c>
      <c r="B255" s="1" t="n">
        <v>45778</v>
      </c>
      <c r="C255" s="1" t="n">
        <v>46200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30456-2023</t>
        </is>
      </c>
      <c r="B256" s="1" t="n">
        <v>45111</v>
      </c>
      <c r="C256" s="1" t="n">
        <v>46200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Naturvårdsverket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30554-2023</t>
        </is>
      </c>
      <c r="B257" s="1" t="n">
        <v>45111</v>
      </c>
      <c r="C257" s="1" t="n">
        <v>46200</v>
      </c>
      <c r="D257" t="inlineStr">
        <is>
          <t>VÄSTRA GÖTALANDS LÄN</t>
        </is>
      </c>
      <c r="E257" t="inlineStr">
        <is>
          <t>MUNKEDAL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57613-2024</t>
        </is>
      </c>
      <c r="B258" s="1" t="n">
        <v>45630</v>
      </c>
      <c r="C258" s="1" t="n">
        <v>46200</v>
      </c>
      <c r="D258" t="inlineStr">
        <is>
          <t>VÄSTRA GÖTALANDS LÄN</t>
        </is>
      </c>
      <c r="E258" t="inlineStr">
        <is>
          <t>MUNKEDAL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56744-2023</t>
        </is>
      </c>
      <c r="B259" s="1" t="n">
        <v>45244</v>
      </c>
      <c r="C259" s="1" t="n">
        <v>46200</v>
      </c>
      <c r="D259" t="inlineStr">
        <is>
          <t>VÄSTRA GÖTALANDS LÄN</t>
        </is>
      </c>
      <c r="E259" t="inlineStr">
        <is>
          <t>MUNKEDAL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53424-2023</t>
        </is>
      </c>
      <c r="B260" s="1" t="n">
        <v>45229</v>
      </c>
      <c r="C260" s="1" t="n">
        <v>46200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56766-2023</t>
        </is>
      </c>
      <c r="B261" s="1" t="n">
        <v>45244</v>
      </c>
      <c r="C261" s="1" t="n">
        <v>46200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59132-2022</t>
        </is>
      </c>
      <c r="B262" s="1" t="n">
        <v>44904</v>
      </c>
      <c r="C262" s="1" t="n">
        <v>46200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28559-2025</t>
        </is>
      </c>
      <c r="B263" s="1" t="n">
        <v>45819</v>
      </c>
      <c r="C263" s="1" t="n">
        <v>46200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38592-2025</t>
        </is>
      </c>
      <c r="B264" s="1" t="n">
        <v>45884</v>
      </c>
      <c r="C264" s="1" t="n">
        <v>46200</v>
      </c>
      <c r="D264" t="inlineStr">
        <is>
          <t>VÄSTRA GÖTALANDS LÄN</t>
        </is>
      </c>
      <c r="E264" t="inlineStr">
        <is>
          <t>MUNKEDAL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21984-2025</t>
        </is>
      </c>
      <c r="B265" s="1" t="n">
        <v>45784</v>
      </c>
      <c r="C265" s="1" t="n">
        <v>46200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16621-2022</t>
        </is>
      </c>
      <c r="B266" s="1" t="n">
        <v>44672</v>
      </c>
      <c r="C266" s="1" t="n">
        <v>46200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21981-2025</t>
        </is>
      </c>
      <c r="B267" s="1" t="n">
        <v>45784</v>
      </c>
      <c r="C267" s="1" t="n">
        <v>46200</v>
      </c>
      <c r="D267" t="inlineStr">
        <is>
          <t>VÄSTRA GÖTALANDS LÄN</t>
        </is>
      </c>
      <c r="E267" t="inlineStr">
        <is>
          <t>MUNKEDAL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57619-2024</t>
        </is>
      </c>
      <c r="B268" s="1" t="n">
        <v>45630</v>
      </c>
      <c r="C268" s="1" t="n">
        <v>46200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57625-2024</t>
        </is>
      </c>
      <c r="B269" s="1" t="n">
        <v>45630</v>
      </c>
      <c r="C269" s="1" t="n">
        <v>46200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57630-2024</t>
        </is>
      </c>
      <c r="B270" s="1" t="n">
        <v>45630</v>
      </c>
      <c r="C270" s="1" t="n">
        <v>46200</v>
      </c>
      <c r="D270" t="inlineStr">
        <is>
          <t>VÄSTRA GÖTALANDS LÄN</t>
        </is>
      </c>
      <c r="E270" t="inlineStr">
        <is>
          <t>MUNKEDAL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61695-2023</t>
        </is>
      </c>
      <c r="B271" s="1" t="n">
        <v>45261</v>
      </c>
      <c r="C271" s="1" t="n">
        <v>46200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28569-2025</t>
        </is>
      </c>
      <c r="B272" s="1" t="n">
        <v>45819</v>
      </c>
      <c r="C272" s="1" t="n">
        <v>46200</v>
      </c>
      <c r="D272" t="inlineStr">
        <is>
          <t>VÄSTRA GÖTALANDS LÄN</t>
        </is>
      </c>
      <c r="E272" t="inlineStr">
        <is>
          <t>MUNKEDAL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53425-2023</t>
        </is>
      </c>
      <c r="B273" s="1" t="n">
        <v>45229</v>
      </c>
      <c r="C273" s="1" t="n">
        <v>46200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53412-2023</t>
        </is>
      </c>
      <c r="B274" s="1" t="n">
        <v>45229</v>
      </c>
      <c r="C274" s="1" t="n">
        <v>46200</v>
      </c>
      <c r="D274" t="inlineStr">
        <is>
          <t>VÄSTRA GÖTALANDS LÄN</t>
        </is>
      </c>
      <c r="E274" t="inlineStr">
        <is>
          <t>MUNKEDAL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57409-2022</t>
        </is>
      </c>
      <c r="B275" s="1" t="n">
        <v>44896</v>
      </c>
      <c r="C275" s="1" t="n">
        <v>46200</v>
      </c>
      <c r="D275" t="inlineStr">
        <is>
          <t>VÄSTRA GÖTALANDS LÄN</t>
        </is>
      </c>
      <c r="E275" t="inlineStr">
        <is>
          <t>MUNKEDAL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48754-2025</t>
        </is>
      </c>
      <c r="B276" s="1" t="n">
        <v>45936</v>
      </c>
      <c r="C276" s="1" t="n">
        <v>46200</v>
      </c>
      <c r="D276" t="inlineStr">
        <is>
          <t>VÄSTRA GÖTALANDS LÄN</t>
        </is>
      </c>
      <c r="E276" t="inlineStr">
        <is>
          <t>MUNKEDAL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58617-2023</t>
        </is>
      </c>
      <c r="B277" s="1" t="n">
        <v>45251</v>
      </c>
      <c r="C277" s="1" t="n">
        <v>46200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28397-2025</t>
        </is>
      </c>
      <c r="B278" s="1" t="n">
        <v>45819</v>
      </c>
      <c r="C278" s="1" t="n">
        <v>46200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28953-2025</t>
        </is>
      </c>
      <c r="B279" s="1" t="n">
        <v>45821</v>
      </c>
      <c r="C279" s="1" t="n">
        <v>46200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7844-2022</t>
        </is>
      </c>
      <c r="B280" s="1" t="n">
        <v>44608</v>
      </c>
      <c r="C280" s="1" t="n">
        <v>46200</v>
      </c>
      <c r="D280" t="inlineStr">
        <is>
          <t>VÄSTRA GÖTALANDS LÄN</t>
        </is>
      </c>
      <c r="E280" t="inlineStr">
        <is>
          <t>MUNKEDAL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26076-2025</t>
        </is>
      </c>
      <c r="B281" s="1" t="n">
        <v>45805</v>
      </c>
      <c r="C281" s="1" t="n">
        <v>46200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50034-2023</t>
        </is>
      </c>
      <c r="B282" s="1" t="n">
        <v>45215</v>
      </c>
      <c r="C282" s="1" t="n">
        <v>46200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38977-2025</t>
        </is>
      </c>
      <c r="B283" s="1" t="n">
        <v>45887</v>
      </c>
      <c r="C283" s="1" t="n">
        <v>46200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22518-2023</t>
        </is>
      </c>
      <c r="B284" s="1" t="n">
        <v>45071</v>
      </c>
      <c r="C284" s="1" t="n">
        <v>46200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Naturvårdsverket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49731-2025</t>
        </is>
      </c>
      <c r="B285" s="1" t="n">
        <v>45939</v>
      </c>
      <c r="C285" s="1" t="n">
        <v>46200</v>
      </c>
      <c r="D285" t="inlineStr">
        <is>
          <t>VÄSTRA GÖTALANDS LÄN</t>
        </is>
      </c>
      <c r="E285" t="inlineStr">
        <is>
          <t>MUNKEDAL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46200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40476-2025</t>
        </is>
      </c>
      <c r="B287" s="1" t="n">
        <v>45895</v>
      </c>
      <c r="C287" s="1" t="n">
        <v>46200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40431-2025</t>
        </is>
      </c>
      <c r="B288" s="1" t="n">
        <v>45895</v>
      </c>
      <c r="C288" s="1" t="n">
        <v>46200</v>
      </c>
      <c r="D288" t="inlineStr">
        <is>
          <t>VÄSTRA GÖTALANDS LÄN</t>
        </is>
      </c>
      <c r="E288" t="inlineStr">
        <is>
          <t>MUNKEDAL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40129-2025</t>
        </is>
      </c>
      <c r="B289" s="1" t="n">
        <v>45894</v>
      </c>
      <c r="C289" s="1" t="n">
        <v>46200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37419-2023</t>
        </is>
      </c>
      <c r="B290" s="1" t="n">
        <v>45155</v>
      </c>
      <c r="C290" s="1" t="n">
        <v>46200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2792-2024</t>
        </is>
      </c>
      <c r="B291" s="1" t="n">
        <v>45314</v>
      </c>
      <c r="C291" s="1" t="n">
        <v>46200</v>
      </c>
      <c r="D291" t="inlineStr">
        <is>
          <t>VÄSTRA GÖTALANDS LÄN</t>
        </is>
      </c>
      <c r="E291" t="inlineStr">
        <is>
          <t>MUNKEDAL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29946-2024</t>
        </is>
      </c>
      <c r="B292" s="1" t="n">
        <v>45488</v>
      </c>
      <c r="C292" s="1" t="n">
        <v>46200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40707-2025</t>
        </is>
      </c>
      <c r="B293" s="1" t="n">
        <v>45897</v>
      </c>
      <c r="C293" s="1" t="n">
        <v>46200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9739-2023</t>
        </is>
      </c>
      <c r="B294" s="1" t="n">
        <v>44984</v>
      </c>
      <c r="C294" s="1" t="n">
        <v>46200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30133-2024</t>
        </is>
      </c>
      <c r="B295" s="1" t="n">
        <v>45489</v>
      </c>
      <c r="C295" s="1" t="n">
        <v>46200</v>
      </c>
      <c r="D295" t="inlineStr">
        <is>
          <t>VÄSTRA GÖTALANDS LÄN</t>
        </is>
      </c>
      <c r="E295" t="inlineStr">
        <is>
          <t>MUNKEDAL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41382-2025</t>
        </is>
      </c>
      <c r="B296" s="1" t="n">
        <v>45898</v>
      </c>
      <c r="C296" s="1" t="n">
        <v>46200</v>
      </c>
      <c r="D296" t="inlineStr">
        <is>
          <t>VÄSTRA GÖTALANDS LÄN</t>
        </is>
      </c>
      <c r="E296" t="inlineStr">
        <is>
          <t>MUNKEDAL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24073-2024</t>
        </is>
      </c>
      <c r="B297" s="1" t="n">
        <v>45456</v>
      </c>
      <c r="C297" s="1" t="n">
        <v>46200</v>
      </c>
      <c r="D297" t="inlineStr">
        <is>
          <t>VÄSTRA GÖTALANDS LÄN</t>
        </is>
      </c>
      <c r="E297" t="inlineStr">
        <is>
          <t>MUNKEDAL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52115-2025</t>
        </is>
      </c>
      <c r="B298" s="1" t="n">
        <v>45952</v>
      </c>
      <c r="C298" s="1" t="n">
        <v>46200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41811-2025</t>
        </is>
      </c>
      <c r="B299" s="1" t="n">
        <v>45902</v>
      </c>
      <c r="C299" s="1" t="n">
        <v>46200</v>
      </c>
      <c r="D299" t="inlineStr">
        <is>
          <t>VÄSTRA GÖTALANDS LÄN</t>
        </is>
      </c>
      <c r="E299" t="inlineStr">
        <is>
          <t>MUNKEDAL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64879-2023</t>
        </is>
      </c>
      <c r="B300" s="1" t="n">
        <v>45282</v>
      </c>
      <c r="C300" s="1" t="n">
        <v>46200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41813-2025</t>
        </is>
      </c>
      <c r="B301" s="1" t="n">
        <v>45902</v>
      </c>
      <c r="C301" s="1" t="n">
        <v>46200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13661-2025</t>
        </is>
      </c>
      <c r="B302" s="1" t="n">
        <v>45736</v>
      </c>
      <c r="C302" s="1" t="n">
        <v>46200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42252-2025</t>
        </is>
      </c>
      <c r="B303" s="1" t="n">
        <v>45904</v>
      </c>
      <c r="C303" s="1" t="n">
        <v>46200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43154-2025</t>
        </is>
      </c>
      <c r="B304" s="1" t="n">
        <v>45909</v>
      </c>
      <c r="C304" s="1" t="n">
        <v>46200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4049-2025</t>
        </is>
      </c>
      <c r="B305" s="1" t="n">
        <v>45684</v>
      </c>
      <c r="C305" s="1" t="n">
        <v>46200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42811-2025</t>
        </is>
      </c>
      <c r="B306" s="1" t="n">
        <v>45908</v>
      </c>
      <c r="C306" s="1" t="n">
        <v>46200</v>
      </c>
      <c r="D306" t="inlineStr">
        <is>
          <t>VÄSTRA GÖTALANDS LÄN</t>
        </is>
      </c>
      <c r="E306" t="inlineStr">
        <is>
          <t>MUNKEDAL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42836-2025</t>
        </is>
      </c>
      <c r="B307" s="1" t="n">
        <v>45908</v>
      </c>
      <c r="C307" s="1" t="n">
        <v>46200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10228-2025</t>
        </is>
      </c>
      <c r="B308" s="1" t="n">
        <v>45720</v>
      </c>
      <c r="C308" s="1" t="n">
        <v>46200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10633-2025</t>
        </is>
      </c>
      <c r="B309" s="1" t="n">
        <v>45721</v>
      </c>
      <c r="C309" s="1" t="n">
        <v>46200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42831-2025</t>
        </is>
      </c>
      <c r="B310" s="1" t="n">
        <v>45908</v>
      </c>
      <c r="C310" s="1" t="n">
        <v>46200</v>
      </c>
      <c r="D310" t="inlineStr">
        <is>
          <t>VÄSTRA GÖTALANDS LÄN</t>
        </is>
      </c>
      <c r="E310" t="inlineStr">
        <is>
          <t>MUNKEDAL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43452-2025</t>
        </is>
      </c>
      <c r="B311" s="1" t="n">
        <v>45911</v>
      </c>
      <c r="C311" s="1" t="n">
        <v>46200</v>
      </c>
      <c r="D311" t="inlineStr">
        <is>
          <t>VÄSTRA GÖTALANDS LÄN</t>
        </is>
      </c>
      <c r="E311" t="inlineStr">
        <is>
          <t>MUNKEDAL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43446-2025</t>
        </is>
      </c>
      <c r="B312" s="1" t="n">
        <v>45911</v>
      </c>
      <c r="C312" s="1" t="n">
        <v>46200</v>
      </c>
      <c r="D312" t="inlineStr">
        <is>
          <t>VÄSTRA GÖTALANDS LÄN</t>
        </is>
      </c>
      <c r="E312" t="inlineStr">
        <is>
          <t>MUNKEDAL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14107-2025</t>
        </is>
      </c>
      <c r="B313" s="1" t="n">
        <v>45740</v>
      </c>
      <c r="C313" s="1" t="n">
        <v>46200</v>
      </c>
      <c r="D313" t="inlineStr">
        <is>
          <t>VÄSTRA GÖTALANDS LÄN</t>
        </is>
      </c>
      <c r="E313" t="inlineStr">
        <is>
          <t>MUNKEDAL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16650-2024</t>
        </is>
      </c>
      <c r="B314" s="1" t="n">
        <v>45408</v>
      </c>
      <c r="C314" s="1" t="n">
        <v>46200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9558-2025</t>
        </is>
      </c>
      <c r="B315" s="1" t="n">
        <v>45714</v>
      </c>
      <c r="C315" s="1" t="n">
        <v>46200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20220-2023</t>
        </is>
      </c>
      <c r="B316" s="1" t="n">
        <v>45055</v>
      </c>
      <c r="C316" s="1" t="n">
        <v>46200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14327-2025</t>
        </is>
      </c>
      <c r="B317" s="1" t="n">
        <v>45740</v>
      </c>
      <c r="C317" s="1" t="n">
        <v>46200</v>
      </c>
      <c r="D317" t="inlineStr">
        <is>
          <t>VÄSTRA GÖTALANDS LÄN</t>
        </is>
      </c>
      <c r="E317" t="inlineStr">
        <is>
          <t>MUNKEDAL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43834-2025</t>
        </is>
      </c>
      <c r="B318" s="1" t="n">
        <v>45912</v>
      </c>
      <c r="C318" s="1" t="n">
        <v>46200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23527-2025</t>
        </is>
      </c>
      <c r="B319" s="1" t="n">
        <v>45792</v>
      </c>
      <c r="C319" s="1" t="n">
        <v>46200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44453-2025</t>
        </is>
      </c>
      <c r="B320" s="1" t="n">
        <v>45916</v>
      </c>
      <c r="C320" s="1" t="n">
        <v>46200</v>
      </c>
      <c r="D320" t="inlineStr">
        <is>
          <t>VÄSTRA GÖTALANDS LÄN</t>
        </is>
      </c>
      <c r="E320" t="inlineStr">
        <is>
          <t>MUNKEDAL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44604-2025</t>
        </is>
      </c>
      <c r="B321" s="1" t="n">
        <v>45908</v>
      </c>
      <c r="C321" s="1" t="n">
        <v>46200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44940-2025</t>
        </is>
      </c>
      <c r="B322" s="1" t="n">
        <v>45918</v>
      </c>
      <c r="C322" s="1" t="n">
        <v>46200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24396-2025</t>
        </is>
      </c>
      <c r="B323" s="1" t="n">
        <v>45797</v>
      </c>
      <c r="C323" s="1" t="n">
        <v>46200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24397-2025</t>
        </is>
      </c>
      <c r="B324" s="1" t="n">
        <v>45797</v>
      </c>
      <c r="C324" s="1" t="n">
        <v>46200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45486-2025</t>
        </is>
      </c>
      <c r="B325" s="1" t="n">
        <v>45921</v>
      </c>
      <c r="C325" s="1" t="n">
        <v>46200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60227-2024</t>
        </is>
      </c>
      <c r="B326" s="1" t="n">
        <v>45640</v>
      </c>
      <c r="C326" s="1" t="n">
        <v>46200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6222-2025</t>
        </is>
      </c>
      <c r="B327" s="1" t="n">
        <v>45696</v>
      </c>
      <c r="C327" s="1" t="n">
        <v>46200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56579-2025</t>
        </is>
      </c>
      <c r="B328" s="1" t="n">
        <v>45974</v>
      </c>
      <c r="C328" s="1" t="n">
        <v>46200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47307-2025</t>
        </is>
      </c>
      <c r="B329" s="1" t="n">
        <v>45930</v>
      </c>
      <c r="C329" s="1" t="n">
        <v>46200</v>
      </c>
      <c r="D329" t="inlineStr">
        <is>
          <t>VÄSTRA GÖTALANDS LÄN</t>
        </is>
      </c>
      <c r="E329" t="inlineStr">
        <is>
          <t>MUNKEDAL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47758-2024</t>
        </is>
      </c>
      <c r="B330" s="1" t="n">
        <v>45588</v>
      </c>
      <c r="C330" s="1" t="n">
        <v>46200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57739-2025</t>
        </is>
      </c>
      <c r="B331" s="1" t="n">
        <v>45981</v>
      </c>
      <c r="C331" s="1" t="n">
        <v>46200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44482-2023</t>
        </is>
      </c>
      <c r="B332" s="1" t="n">
        <v>45189</v>
      </c>
      <c r="C332" s="1" t="n">
        <v>46200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57900-2025</t>
        </is>
      </c>
      <c r="B333" s="1" t="n">
        <v>45981</v>
      </c>
      <c r="C333" s="1" t="n">
        <v>46200</v>
      </c>
      <c r="D333" t="inlineStr">
        <is>
          <t>VÄSTRA GÖTALANDS LÄN</t>
        </is>
      </c>
      <c r="E333" t="inlineStr">
        <is>
          <t>MUNKEDAL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55438-2025</t>
        </is>
      </c>
      <c r="B334" s="1" t="n">
        <v>45971</v>
      </c>
      <c r="C334" s="1" t="n">
        <v>46200</v>
      </c>
      <c r="D334" t="inlineStr">
        <is>
          <t>VÄSTRA GÖTALANDS LÄN</t>
        </is>
      </c>
      <c r="E334" t="inlineStr">
        <is>
          <t>MUNKEDAL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51411-2022</t>
        </is>
      </c>
      <c r="B335" s="1" t="n">
        <v>44866</v>
      </c>
      <c r="C335" s="1" t="n">
        <v>46200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58515-2025</t>
        </is>
      </c>
      <c r="B336" s="1" t="n">
        <v>45985</v>
      </c>
      <c r="C336" s="1" t="n">
        <v>46200</v>
      </c>
      <c r="D336" t="inlineStr">
        <is>
          <t>VÄSTRA GÖTALANDS LÄN</t>
        </is>
      </c>
      <c r="E336" t="inlineStr">
        <is>
          <t>MUNKEDAL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58157-2025</t>
        </is>
      </c>
      <c r="B337" s="1" t="n">
        <v>45982</v>
      </c>
      <c r="C337" s="1" t="n">
        <v>46200</v>
      </c>
      <c r="D337" t="inlineStr">
        <is>
          <t>VÄSTRA GÖTALANDS LÄN</t>
        </is>
      </c>
      <c r="E337" t="inlineStr">
        <is>
          <t>MUNKEDAL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25406-2025</t>
        </is>
      </c>
      <c r="B338" s="1" t="n">
        <v>45800</v>
      </c>
      <c r="C338" s="1" t="n">
        <v>46200</v>
      </c>
      <c r="D338" t="inlineStr">
        <is>
          <t>VÄSTRA GÖTALANDS LÄN</t>
        </is>
      </c>
      <c r="E338" t="inlineStr">
        <is>
          <t>MUNKEDAL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46200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59099-2025</t>
        </is>
      </c>
      <c r="B340" s="1" t="n">
        <v>45988</v>
      </c>
      <c r="C340" s="1" t="n">
        <v>46200</v>
      </c>
      <c r="D340" t="inlineStr">
        <is>
          <t>VÄSTRA GÖTALANDS LÄN</t>
        </is>
      </c>
      <c r="E340" t="inlineStr">
        <is>
          <t>MUNKEDAL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25607-2025</t>
        </is>
      </c>
      <c r="B341" s="1" t="n">
        <v>45803</v>
      </c>
      <c r="C341" s="1" t="n">
        <v>46200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61247-2025</t>
        </is>
      </c>
      <c r="B342" s="1" t="n">
        <v>46000</v>
      </c>
      <c r="C342" s="1" t="n">
        <v>46200</v>
      </c>
      <c r="D342" t="inlineStr">
        <is>
          <t>VÄSTRA GÖTALANDS LÄN</t>
        </is>
      </c>
      <c r="E342" t="inlineStr">
        <is>
          <t>MUNKEDAL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61268-2025</t>
        </is>
      </c>
      <c r="B343" s="1" t="n">
        <v>46000</v>
      </c>
      <c r="C343" s="1" t="n">
        <v>46200</v>
      </c>
      <c r="D343" t="inlineStr">
        <is>
          <t>VÄSTRA GÖTALANDS LÄN</t>
        </is>
      </c>
      <c r="E343" t="inlineStr">
        <is>
          <t>MUNKEDAL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61392-2025</t>
        </is>
      </c>
      <c r="B344" s="1" t="n">
        <v>46000</v>
      </c>
      <c r="C344" s="1" t="n">
        <v>46200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61276-2025</t>
        </is>
      </c>
      <c r="B345" s="1" t="n">
        <v>46000</v>
      </c>
      <c r="C345" s="1" t="n">
        <v>46200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46200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</v>
      </c>
      <c r="C347" s="1" t="n">
        <v>46200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</v>
      </c>
      <c r="C348" s="1" t="n">
        <v>46200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64132-2025</t>
        </is>
      </c>
      <c r="B349" s="1" t="n">
        <v>46013</v>
      </c>
      <c r="C349" s="1" t="n">
        <v>46200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63515-2025</t>
        </is>
      </c>
      <c r="B350" s="1" t="n">
        <v>46013</v>
      </c>
      <c r="C350" s="1" t="n">
        <v>46200</v>
      </c>
      <c r="D350" t="inlineStr">
        <is>
          <t>VÄSTRA GÖTALANDS LÄN</t>
        </is>
      </c>
      <c r="E350" t="inlineStr">
        <is>
          <t>MUNKEDAL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52336-2025</t>
        </is>
      </c>
      <c r="B351" s="1" t="n">
        <v>45953</v>
      </c>
      <c r="C351" s="1" t="n">
        <v>46200</v>
      </c>
      <c r="D351" t="inlineStr">
        <is>
          <t>VÄSTRA GÖTALANDS LÄN</t>
        </is>
      </c>
      <c r="E351" t="inlineStr">
        <is>
          <t>MUNKEDAL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64147-2025</t>
        </is>
      </c>
      <c r="B352" s="1" t="n">
        <v>46022</v>
      </c>
      <c r="C352" s="1" t="n">
        <v>46200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64146-2025</t>
        </is>
      </c>
      <c r="B353" s="1" t="n">
        <v>46022</v>
      </c>
      <c r="C353" s="1" t="n">
        <v>46200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1204-2026</t>
        </is>
      </c>
      <c r="B354" s="1" t="n">
        <v>46030</v>
      </c>
      <c r="C354" s="1" t="n">
        <v>46200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1864-2026</t>
        </is>
      </c>
      <c r="B355" s="1" t="n">
        <v>46035</v>
      </c>
      <c r="C355" s="1" t="n">
        <v>46200</v>
      </c>
      <c r="D355" t="inlineStr">
        <is>
          <t>VÄSTRA GÖTALANDS LÄN</t>
        </is>
      </c>
      <c r="E355" t="inlineStr">
        <is>
          <t>MUNKEDAL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2002-2026</t>
        </is>
      </c>
      <c r="B356" s="1" t="n">
        <v>46035</v>
      </c>
      <c r="C356" s="1" t="n">
        <v>46200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3003-2026</t>
        </is>
      </c>
      <c r="B357" s="1" t="n">
        <v>46038</v>
      </c>
      <c r="C357" s="1" t="n">
        <v>46200</v>
      </c>
      <c r="D357" t="inlineStr">
        <is>
          <t>VÄSTRA GÖTALANDS LÄN</t>
        </is>
      </c>
      <c r="E357" t="inlineStr">
        <is>
          <t>MUNKEDAL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3002-2026</t>
        </is>
      </c>
      <c r="B358" s="1" t="n">
        <v>46038</v>
      </c>
      <c r="C358" s="1" t="n">
        <v>46200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28919-2025</t>
        </is>
      </c>
      <c r="B359" s="1" t="n">
        <v>45820</v>
      </c>
      <c r="C359" s="1" t="n">
        <v>46200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4371-2026</t>
        </is>
      </c>
      <c r="B360" s="1" t="n">
        <v>46044</v>
      </c>
      <c r="C360" s="1" t="n">
        <v>46200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4855-2026</t>
        </is>
      </c>
      <c r="B361" s="1" t="n">
        <v>46048</v>
      </c>
      <c r="C361" s="1" t="n">
        <v>46200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4563-2026</t>
        </is>
      </c>
      <c r="B362" s="1" t="n">
        <v>46047</v>
      </c>
      <c r="C362" s="1" t="n">
        <v>46200</v>
      </c>
      <c r="D362" t="inlineStr">
        <is>
          <t>VÄSTRA GÖTALANDS LÄN</t>
        </is>
      </c>
      <c r="E362" t="inlineStr">
        <is>
          <t>MUNKEDAL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6037-2026</t>
        </is>
      </c>
      <c r="B363" s="1" t="n">
        <v>46050</v>
      </c>
      <c r="C363" s="1" t="n">
        <v>46200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5500-2026</t>
        </is>
      </c>
      <c r="B364" s="1" t="n">
        <v>46050</v>
      </c>
      <c r="C364" s="1" t="n">
        <v>46200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6824-2026</t>
        </is>
      </c>
      <c r="B365" s="1" t="n">
        <v>46055</v>
      </c>
      <c r="C365" s="1" t="n">
        <v>46200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46200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7385-2026</t>
        </is>
      </c>
      <c r="B367" s="1" t="n">
        <v>46059</v>
      </c>
      <c r="C367" s="1" t="n">
        <v>46200</v>
      </c>
      <c r="D367" t="inlineStr">
        <is>
          <t>VÄSTRA GÖTALANDS LÄN</t>
        </is>
      </c>
      <c r="E367" t="inlineStr">
        <is>
          <t>MUNKEDAL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7656-2026</t>
        </is>
      </c>
      <c r="B368" s="1" t="n">
        <v>46062</v>
      </c>
      <c r="C368" s="1" t="n">
        <v>46200</v>
      </c>
      <c r="D368" t="inlineStr">
        <is>
          <t>VÄSTRA GÖTALANDS LÄN</t>
        </is>
      </c>
      <c r="E368" t="inlineStr">
        <is>
          <t>MUNKEDAL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</v>
      </c>
      <c r="C369" s="1" t="n">
        <v>46200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8257-2026</t>
        </is>
      </c>
      <c r="B370" s="1" t="n">
        <v>46064</v>
      </c>
      <c r="C370" s="1" t="n">
        <v>46200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10096-2026</t>
        </is>
      </c>
      <c r="B371" s="1" t="n">
        <v>46073</v>
      </c>
      <c r="C371" s="1" t="n">
        <v>46200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10097-2026</t>
        </is>
      </c>
      <c r="B372" s="1" t="n">
        <v>46073</v>
      </c>
      <c r="C372" s="1" t="n">
        <v>46200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10775-2026</t>
        </is>
      </c>
      <c r="B373" s="1" t="n">
        <v>46078</v>
      </c>
      <c r="C373" s="1" t="n">
        <v>46200</v>
      </c>
      <c r="D373" t="inlineStr">
        <is>
          <t>VÄSTRA GÖTALANDS LÄN</t>
        </is>
      </c>
      <c r="E373" t="inlineStr">
        <is>
          <t>MUNKEDAL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6809-2024</t>
        </is>
      </c>
      <c r="B374" s="1" t="n">
        <v>45342</v>
      </c>
      <c r="C374" s="1" t="n">
        <v>46200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12624-2026</t>
        </is>
      </c>
      <c r="B375" s="1" t="n">
        <v>46091</v>
      </c>
      <c r="C375" s="1" t="n">
        <v>46200</v>
      </c>
      <c r="D375" t="inlineStr">
        <is>
          <t>VÄSTRA GÖTALANDS LÄN</t>
        </is>
      </c>
      <c r="E375" t="inlineStr">
        <is>
          <t>MUNKEDAL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14607-2026</t>
        </is>
      </c>
      <c r="B376" s="1" t="n">
        <v>46101</v>
      </c>
      <c r="C376" s="1" t="n">
        <v>46200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14608-2026</t>
        </is>
      </c>
      <c r="B377" s="1" t="n">
        <v>46101</v>
      </c>
      <c r="C377" s="1" t="n">
        <v>46200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16407-2026</t>
        </is>
      </c>
      <c r="B378" s="1" t="n">
        <v>46111</v>
      </c>
      <c r="C378" s="1" t="n">
        <v>46200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16330-2026</t>
        </is>
      </c>
      <c r="B379" s="1" t="n">
        <v>46111</v>
      </c>
      <c r="C379" s="1" t="n">
        <v>46200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16410-2026</t>
        </is>
      </c>
      <c r="B380" s="1" t="n">
        <v>46111</v>
      </c>
      <c r="C380" s="1" t="n">
        <v>46200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</v>
      </c>
      <c r="C381" s="1" t="n">
        <v>46200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16399-2026</t>
        </is>
      </c>
      <c r="B382" s="1" t="n">
        <v>46111</v>
      </c>
      <c r="C382" s="1" t="n">
        <v>46200</v>
      </c>
      <c r="D382" t="inlineStr">
        <is>
          <t>VÄSTRA GÖTALANDS LÄN</t>
        </is>
      </c>
      <c r="E382" t="inlineStr">
        <is>
          <t>MUNKEDAL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16405-2026</t>
        </is>
      </c>
      <c r="B383" s="1" t="n">
        <v>46111</v>
      </c>
      <c r="C383" s="1" t="n">
        <v>46200</v>
      </c>
      <c r="D383" t="inlineStr">
        <is>
          <t>VÄSTRA GÖTALANDS LÄN</t>
        </is>
      </c>
      <c r="E383" t="inlineStr">
        <is>
          <t>MUNKEDAL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22959-2026</t>
        </is>
      </c>
      <c r="B384" s="1" t="n">
        <v>46160</v>
      </c>
      <c r="C384" s="1" t="n">
        <v>46200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17277-2026</t>
        </is>
      </c>
      <c r="B385" s="1" t="n">
        <v>46119</v>
      </c>
      <c r="C385" s="1" t="n">
        <v>46200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17878-2026</t>
        </is>
      </c>
      <c r="B386" s="1" t="n">
        <v>46122</v>
      </c>
      <c r="C386" s="1" t="n">
        <v>46200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Kyrkan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18569-2026</t>
        </is>
      </c>
      <c r="B387" s="1" t="n">
        <v>46126</v>
      </c>
      <c r="C387" s="1" t="n">
        <v>46200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23876-2026</t>
        </is>
      </c>
      <c r="B388" s="1" t="n">
        <v>46167</v>
      </c>
      <c r="C388" s="1" t="n">
        <v>46200</v>
      </c>
      <c r="D388" t="inlineStr">
        <is>
          <t>VÄSTRA GÖTALANDS LÄN</t>
        </is>
      </c>
      <c r="E388" t="inlineStr">
        <is>
          <t>MUNKEDAL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16631-2022</t>
        </is>
      </c>
      <c r="B389" s="1" t="n">
        <v>44672</v>
      </c>
      <c r="C389" s="1" t="n">
        <v>46200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23872-2026</t>
        </is>
      </c>
      <c r="B390" s="1" t="n">
        <v>46167</v>
      </c>
      <c r="C390" s="1" t="n">
        <v>46200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19173-2026</t>
        </is>
      </c>
      <c r="B391" s="1" t="n">
        <v>46129</v>
      </c>
      <c r="C391" s="1" t="n">
        <v>46200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24393-2026</t>
        </is>
      </c>
      <c r="B392" s="1" t="n">
        <v>46169</v>
      </c>
      <c r="C392" s="1" t="n">
        <v>46200</v>
      </c>
      <c r="D392" t="inlineStr">
        <is>
          <t>VÄSTRA GÖTALANDS LÄN</t>
        </is>
      </c>
      <c r="E392" t="inlineStr">
        <is>
          <t>MUNKEDAL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24403-2026</t>
        </is>
      </c>
      <c r="B393" s="1" t="n">
        <v>46169</v>
      </c>
      <c r="C393" s="1" t="n">
        <v>46200</v>
      </c>
      <c r="D393" t="inlineStr">
        <is>
          <t>VÄSTRA GÖTALANDS LÄN</t>
        </is>
      </c>
      <c r="E393" t="inlineStr">
        <is>
          <t>MUNKEDAL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25232-2026</t>
        </is>
      </c>
      <c r="B394" s="1" t="n">
        <v>46175</v>
      </c>
      <c r="C394" s="1" t="n">
        <v>46200</v>
      </c>
      <c r="D394" t="inlineStr">
        <is>
          <t>VÄSTRA GÖTALANDS LÄN</t>
        </is>
      </c>
      <c r="E394" t="inlineStr">
        <is>
          <t>MUNKEDAL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18280-2026</t>
        </is>
      </c>
      <c r="B395" s="1" t="n">
        <v>46126</v>
      </c>
      <c r="C395" s="1" t="n">
        <v>46200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19022-2026</t>
        </is>
      </c>
      <c r="B396" s="1" t="n">
        <v>46131</v>
      </c>
      <c r="C396" s="1" t="n">
        <v>46200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19593-2026</t>
        </is>
      </c>
      <c r="B397" s="1" t="n">
        <v>46134</v>
      </c>
      <c r="C397" s="1" t="n">
        <v>46200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49350-2025</t>
        </is>
      </c>
      <c r="B398" s="1" t="n">
        <v>45938</v>
      </c>
      <c r="C398" s="1" t="n">
        <v>46200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52555-2025</t>
        </is>
      </c>
      <c r="B399" s="1" t="n">
        <v>45954</v>
      </c>
      <c r="C399" s="1" t="n">
        <v>46200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13561-2024</t>
        </is>
      </c>
      <c r="B400" s="1" t="n">
        <v>45388</v>
      </c>
      <c r="C400" s="1" t="n">
        <v>46200</v>
      </c>
      <c r="D400" t="inlineStr">
        <is>
          <t>VÄSTRA GÖTALANDS LÄN</t>
        </is>
      </c>
      <c r="E400" t="inlineStr">
        <is>
          <t>MUNKEDAL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37331-2024</t>
        </is>
      </c>
      <c r="B401" s="1" t="n">
        <v>45540</v>
      </c>
      <c r="C401" s="1" t="n">
        <v>46200</v>
      </c>
      <c r="D401" t="inlineStr">
        <is>
          <t>VÄSTRA GÖTALANDS LÄN</t>
        </is>
      </c>
      <c r="E401" t="inlineStr">
        <is>
          <t>MUNKEDAL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46583-2025</t>
        </is>
      </c>
      <c r="B402" s="1" t="n">
        <v>45926</v>
      </c>
      <c r="C402" s="1" t="n">
        <v>46200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8761-2024</t>
        </is>
      </c>
      <c r="B403" s="1" t="n">
        <v>45355</v>
      </c>
      <c r="C403" s="1" t="n">
        <v>46200</v>
      </c>
      <c r="D403" t="inlineStr">
        <is>
          <t>VÄSTRA GÖTALANDS LÄN</t>
        </is>
      </c>
      <c r="E403" t="inlineStr">
        <is>
          <t>MUNKEDAL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5498-2026</t>
        </is>
      </c>
      <c r="B404" s="1" t="n">
        <v>46050</v>
      </c>
      <c r="C404" s="1" t="n">
        <v>46200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36948-2025</t>
        </is>
      </c>
      <c r="B405" s="1" t="n">
        <v>45874</v>
      </c>
      <c r="C405" s="1" t="n">
        <v>46200</v>
      </c>
      <c r="D405" t="inlineStr">
        <is>
          <t>VÄSTRA GÖTALANDS LÄN</t>
        </is>
      </c>
      <c r="E405" t="inlineStr">
        <is>
          <t>MUNKEDAL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20074-2026</t>
        </is>
      </c>
      <c r="B406" s="1" t="n">
        <v>46136</v>
      </c>
      <c r="C406" s="1" t="n">
        <v>46200</v>
      </c>
      <c r="D406" t="inlineStr">
        <is>
          <t>VÄSTRA GÖTALANDS LÄN</t>
        </is>
      </c>
      <c r="E406" t="inlineStr">
        <is>
          <t>MUNKEDAL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23605-2023</t>
        </is>
      </c>
      <c r="B407" s="1" t="n">
        <v>45072</v>
      </c>
      <c r="C407" s="1" t="n">
        <v>46200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24180-2025</t>
        </is>
      </c>
      <c r="B408" s="1" t="n">
        <v>45796</v>
      </c>
      <c r="C408" s="1" t="n">
        <v>46200</v>
      </c>
      <c r="D408" t="inlineStr">
        <is>
          <t>VÄSTRA GÖTALANDS LÄN</t>
        </is>
      </c>
      <c r="E408" t="inlineStr">
        <is>
          <t>MUNKEDAL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23610-2023</t>
        </is>
      </c>
      <c r="B409" s="1" t="n">
        <v>45072</v>
      </c>
      <c r="C409" s="1" t="n">
        <v>46200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7554-2024</t>
        </is>
      </c>
      <c r="B410" s="1" t="n">
        <v>45348</v>
      </c>
      <c r="C410" s="1" t="n">
        <v>46200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20753-2026</t>
        </is>
      </c>
      <c r="B411" s="1" t="n">
        <v>46141</v>
      </c>
      <c r="C411" s="1" t="n">
        <v>46200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20784-2026</t>
        </is>
      </c>
      <c r="B412" s="1" t="n">
        <v>46141</v>
      </c>
      <c r="C412" s="1" t="n">
        <v>46200</v>
      </c>
      <c r="D412" t="inlineStr">
        <is>
          <t>VÄSTRA GÖTALANDS LÄN</t>
        </is>
      </c>
      <c r="E412" t="inlineStr">
        <is>
          <t>MUNKEDAL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20797-2026</t>
        </is>
      </c>
      <c r="B413" s="1" t="n">
        <v>46141</v>
      </c>
      <c r="C413" s="1" t="n">
        <v>46200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20456-2026</t>
        </is>
      </c>
      <c r="B414" s="1" t="n">
        <v>46140</v>
      </c>
      <c r="C414" s="1" t="n">
        <v>46200</v>
      </c>
      <c r="D414" t="inlineStr">
        <is>
          <t>VÄSTRA GÖTALANDS LÄN</t>
        </is>
      </c>
      <c r="E414" t="inlineStr">
        <is>
          <t>MUNKEDAL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26835-2026</t>
        </is>
      </c>
      <c r="B415" s="1" t="n">
        <v>46185</v>
      </c>
      <c r="C415" s="1" t="n">
        <v>46200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20879-2026</t>
        </is>
      </c>
      <c r="B416" s="1" t="n">
        <v>46142</v>
      </c>
      <c r="C416" s="1" t="n">
        <v>46200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21230-2026</t>
        </is>
      </c>
      <c r="B417" s="1" t="n">
        <v>46146</v>
      </c>
      <c r="C417" s="1" t="n">
        <v>46200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27255-2026</t>
        </is>
      </c>
      <c r="B418" s="1" t="n">
        <v>46188</v>
      </c>
      <c r="C418" s="1" t="n">
        <v>46200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27532-2026</t>
        </is>
      </c>
      <c r="B419" s="1" t="n">
        <v>46189</v>
      </c>
      <c r="C419" s="1" t="n">
        <v>46200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27607-2026</t>
        </is>
      </c>
      <c r="B420" s="1" t="n">
        <v>46190</v>
      </c>
      <c r="C420" s="1" t="n">
        <v>46200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24608-2026</t>
        </is>
      </c>
      <c r="B421" s="1" t="n">
        <v>46171</v>
      </c>
      <c r="C421" s="1" t="n">
        <v>46200</v>
      </c>
      <c r="D421" t="inlineStr">
        <is>
          <t>VÄSTRA GÖTALANDS LÄN</t>
        </is>
      </c>
      <c r="E421" t="inlineStr">
        <is>
          <t>MUNKEDAL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2026-06-27T00:53:45Z</dcterms:created>
  <dcterms:modified xmlns:dcterms="http://purl.org/dc/terms/" xmlns:xsi="http://www.w3.org/2001/XMLSchema-instance" xsi:type="dcterms:W3CDTF">2026-06-27T00:53:46Z</dcterms:modified>
</cp:coreProperties>
</file>