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46324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46324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46324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46324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46324</v>
      </c>
      <c r="F6" t="inlineStr">
        <is>
          <t>VÄSTRA GÖTALANDS LÄN</t>
        </is>
      </c>
      <c r="G6" t="inlineStr">
        <is>
          <t>MUNKEDAL</t>
        </is>
      </c>
      <c r="I6" t="n">
        <v>4.7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Havsörn
Gullviva</t>
        </is>
      </c>
      <c r="W6">
        <f>HYPERLINK("https://klasma.github.io/Logging_1430/artfynd/A 2539-2024 artfynd.xlsx", "A 2539-2024")</f>
        <v/>
      </c>
      <c r="X6">
        <f>HYPERLINK("https://klasma.github.io/Logging_1430/kartor/A 2539-2024 karta.png", "A 2539-2024")</f>
        <v/>
      </c>
      <c r="Y6">
        <f>HYPERLINK("https://klasma.github.io/Logging_1430/kartor_geotiff/A 2539-2024 georefererad karta.tif", "A 2539-2024")</f>
        <v/>
      </c>
      <c r="AA6">
        <f>HYPERLINK("https://klasma.github.io/Logging_1430/klagomål/A 2539-2024 FSC-klagomål.docx", "A 2539-2024")</f>
        <v/>
      </c>
      <c r="AB6">
        <f>HYPERLINK("https://klasma.github.io/Logging_1430/klagomålsmail/A 2539-2024 FSC-klagomål mail.docx", "A 2539-2024")</f>
        <v/>
      </c>
      <c r="AC6">
        <f>HYPERLINK("https://klasma.github.io/Logging_1430/tillsyn/A 2539-2024 tillsynsbegäran.docx", "A 2539-2024")</f>
        <v/>
      </c>
      <c r="AD6">
        <f>HYPERLINK("https://klasma.github.io/Logging_1430/tillsynsmail/A 2539-2024 tillsynsbegäran mail.docx", "A 2539-2024")</f>
        <v/>
      </c>
      <c r="AE6">
        <f>HYPERLINK("https://klasma.github.io/Logging_1430/fåglar/A 2539-2024 prioriterade fågelarter.docx", "A 2539-2024")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46324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16972-2022</t>
        </is>
      </c>
      <c r="B8" t="inlineStr">
        <is>
          <t>avverkningsanmälan</t>
        </is>
      </c>
      <c r="C8" t="inlineStr">
        <is>
          <t>Användning av främmande trädart</t>
        </is>
      </c>
      <c r="D8" s="1" t="n">
        <v>44676</v>
      </c>
      <c r="E8" s="1" t="n">
        <v>46324</v>
      </c>
      <c r="F8" t="inlineStr">
        <is>
          <t>VÄSTRA GÖTALANDS LÄN</t>
        </is>
      </c>
      <c r="G8" t="inlineStr">
        <is>
          <t>MUNKEDAL</t>
        </is>
      </c>
      <c r="I8" t="n">
        <v>10.6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Dunmossa
Grön sköldmossa</t>
        </is>
      </c>
      <c r="W8">
        <f>HYPERLINK("https://klasma.github.io/Logging_1430/artfynd/A 16972-2022 artfynd.xlsx", "A 16972-2022")</f>
        <v/>
      </c>
      <c r="X8">
        <f>HYPERLINK("https://klasma.github.io/Logging_1430/kartor/A 16972-2022 karta.png", "A 16972-2022")</f>
        <v/>
      </c>
      <c r="Y8">
        <f>HYPERLINK("https://klasma.github.io/Logging_1430/kartor_geotiff/A 16972-2022 georefererad karta.tif", "A 16972-2022")</f>
        <v/>
      </c>
      <c r="AA8">
        <f>HYPERLINK("https://klasma.github.io/Logging_1430/klagomål/A 16972-2022 FSC-klagomål.docx", "A 16972-2022")</f>
        <v/>
      </c>
      <c r="AB8">
        <f>HYPERLINK("https://klasma.github.io/Logging_1430/klagomålsmail/A 16972-2022 FSC-klagomål mail.docx", "A 16972-2022")</f>
        <v/>
      </c>
      <c r="AC8">
        <f>HYPERLINK("https://klasma.github.io/Logging_1430/tillsyn/A 16972-2022 tillsynsbegäran.docx", "A 16972-2022")</f>
        <v/>
      </c>
      <c r="AD8">
        <f>HYPERLINK("https://klasma.github.io/Logging_1430/tillsynsmail/A 16972-2022 tillsynsbegäran mail.docx", "A 16972-2022")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46324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46324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46324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46324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46324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58890-2022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46324</v>
      </c>
      <c r="F14" t="inlineStr">
        <is>
          <t>VÄSTRA GÖTALANDS LÄN</t>
        </is>
      </c>
      <c r="G14" t="inlineStr">
        <is>
          <t>MUNKEDAL</t>
        </is>
      </c>
      <c r="I14" t="n">
        <v>5.4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revmossa</t>
        </is>
      </c>
      <c r="W14">
        <f>HYPERLINK("https://klasma.github.io/Logging_1430/artfynd/A 58890-2022 artfynd.xlsx", "A 58890-2022")</f>
        <v/>
      </c>
      <c r="X14">
        <f>HYPERLINK("https://klasma.github.io/Logging_1430/kartor/A 58890-2022 karta.png", "A 58890-2022")</f>
        <v/>
      </c>
      <c r="Y14">
        <f>HYPERLINK("https://klasma.github.io/Logging_1430/kartor_geotiff/A 58890-2022 georefererad karta.tif", "A 58890-2022")</f>
        <v/>
      </c>
      <c r="AA14">
        <f>HYPERLINK("https://klasma.github.io/Logging_1430/klagomål/A 58890-2022 FSC-klagomål.docx", "A 58890-2022")</f>
        <v/>
      </c>
      <c r="AB14">
        <f>HYPERLINK("https://klasma.github.io/Logging_1430/klagomålsmail/A 58890-2022 FSC-klagomål mail.docx", "A 58890-2022")</f>
        <v/>
      </c>
      <c r="AC14">
        <f>HYPERLINK("https://klasma.github.io/Logging_1430/tillsyn/A 58890-2022 tillsynsbegäran.docx", "A 58890-2022")</f>
        <v/>
      </c>
      <c r="AD14">
        <f>HYPERLINK("https://klasma.github.io/Logging_1430/tillsynsmail/A 58890-2022 tillsynsbegäran mail.docx", "A 58890-2022")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46324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46324</v>
      </c>
      <c r="F16" t="inlineStr">
        <is>
          <t>VÄSTRA GÖTALANDS LÄN</t>
        </is>
      </c>
      <c r="G16" t="inlineStr">
        <is>
          <t>MUNKEDAL</t>
        </is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HYPERLINK("https://klasma.github.io/Logging_1430/artfynd/A 9934-2023 artfynd.xlsx", "A 9934-2023")</f>
        <v/>
      </c>
      <c r="X16">
        <f>HYPERLINK("https://klasma.github.io/Logging_1430/kartor/A 9934-2023 karta.png", "A 9934-2023")</f>
        <v/>
      </c>
      <c r="Y16">
        <f>HYPERLINK("https://klasma.github.io/Logging_1430/kartor_geotiff/A 9934-2023 georefererad karta.tif", "A 9934-2023")</f>
        <v/>
      </c>
      <c r="AA16">
        <f>HYPERLINK("https://klasma.github.io/Logging_1430/klagomål/A 9934-2023 FSC-klagomål.docx", "A 9934-2023")</f>
        <v/>
      </c>
      <c r="AB16">
        <f>HYPERLINK("https://klasma.github.io/Logging_1430/klagomålsmail/A 9934-2023 FSC-klagomål mail.docx", "A 9934-2023")</f>
        <v/>
      </c>
      <c r="AC16">
        <f>HYPERLINK("https://klasma.github.io/Logging_1430/tillsyn/A 9934-2023 tillsynsbegäran.docx", "A 9934-2023")</f>
        <v/>
      </c>
      <c r="AD16">
        <f>HYPERLINK("https://klasma.github.io/Logging_1430/tillsynsmail/A 9934-2023 tillsynsbegäran mail.docx", "A 9934-2023")</f>
        <v/>
      </c>
      <c r="AE16">
        <f>HYPERLINK("https://klasma.github.io/Logging_1430/fåglar/A 9934-2023 prioriterade fågelarter.docx", "A 9934-2023")</f>
        <v/>
      </c>
    </row>
    <row r="17" ht="15" customHeight="1">
      <c r="A17" t="inlineStr">
        <is>
          <t>A 2887-2025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46324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9.699999999999999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Krusfrö</t>
        </is>
      </c>
      <c r="W17">
        <f>HYPERLINK("https://klasma.github.io/Logging_1430/artfynd/A 2887-2025 artfynd.xlsx", "A 2887-2025")</f>
        <v/>
      </c>
      <c r="X17">
        <f>HYPERLINK("https://klasma.github.io/Logging_1430/kartor/A 2887-2025 karta.png", "A 2887-2025")</f>
        <v/>
      </c>
      <c r="Y17">
        <f>HYPERLINK("https://klasma.github.io/Logging_1430/kartor_geotiff/A 2887-2025 georefererad karta.tif", "A 2887-2025")</f>
        <v/>
      </c>
      <c r="AA17">
        <f>HYPERLINK("https://klasma.github.io/Logging_1430/klagomål/A 2887-2025 FSC-klagomål.docx", "A 2887-2025")</f>
        <v/>
      </c>
      <c r="AB17">
        <f>HYPERLINK("https://klasma.github.io/Logging_1430/klagomålsmail/A 2887-2025 FSC-klagomål mail.docx", "A 2887-2025")</f>
        <v/>
      </c>
      <c r="AC17">
        <f>HYPERLINK("https://klasma.github.io/Logging_1430/tillsyn/A 2887-2025 tillsynsbegäran.docx", "A 2887-2025")</f>
        <v/>
      </c>
      <c r="AD17">
        <f>HYPERLINK("https://klasma.github.io/Logging_1430/tillsynsmail/A 2887-2025 tillsynsbegäran mail.docx", "A 2887-2025")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46324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46324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23065-2026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46324</v>
      </c>
      <c r="F20" t="inlineStr">
        <is>
          <t>VÄSTRA GÖTALANDS LÄN</t>
        </is>
      </c>
      <c r="G20" t="inlineStr">
        <is>
          <t>MUNKEDAL</t>
        </is>
      </c>
      <c r="I20" t="n">
        <v>7.5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HYPERLINK("https://klasma.github.io/Logging_1430/artfynd/A 23065-2026 artfynd.xlsx", "A 23065-2026")</f>
        <v/>
      </c>
      <c r="X20">
        <f>HYPERLINK("https://klasma.github.io/Logging_1430/kartor/A 23065-2026 karta.png", "A 23065-2026")</f>
        <v/>
      </c>
      <c r="Y20">
        <f>HYPERLINK("https://klasma.github.io/Logging_1430/kartor_geotiff/A 23065-2026 georefererad karta.tif", "A 23065-2026")</f>
        <v/>
      </c>
      <c r="AA20">
        <f>HYPERLINK("https://klasma.github.io/Logging_1430/klagomål/A 23065-2026 FSC-klagomål.docx", "A 23065-2026")</f>
        <v/>
      </c>
      <c r="AB20">
        <f>HYPERLINK("https://klasma.github.io/Logging_1430/klagomålsmail/A 23065-2026 FSC-klagomål mail.docx", "A 23065-2026")</f>
        <v/>
      </c>
      <c r="AC20">
        <f>HYPERLINK("https://klasma.github.io/Logging_1430/tillsyn/A 23065-2026 tillsynsbegäran.docx", "A 23065-2026")</f>
        <v/>
      </c>
      <c r="AD20">
        <f>HYPERLINK("https://klasma.github.io/Logging_1430/tillsynsmail/A 23065-2026 tillsynsbegäran mail.docx", "A 23065-2026")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46324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45083-2024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46324</v>
      </c>
      <c r="F22" t="inlineStr">
        <is>
          <t>VÄSTRA GÖTALANDS LÄN</t>
        </is>
      </c>
      <c r="G22" t="inlineStr">
        <is>
          <t>MUNKEDAL</t>
        </is>
      </c>
      <c r="I22" t="n">
        <v>2.7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HYPERLINK("https://klasma.github.io/Logging_1430/artfynd/A 45083-2024 artfynd.xlsx", "A 45083-2024")</f>
        <v/>
      </c>
      <c r="X22">
        <f>HYPERLINK("https://klasma.github.io/Logging_1430/kartor/A 45083-2024 karta.png", "A 45083-2024")</f>
        <v/>
      </c>
      <c r="Y22">
        <f>HYPERLINK("https://klasma.github.io/Logging_1430/kartor_geotiff/A 45083-2024 georefererad karta.tif", "A 45083-2024")</f>
        <v/>
      </c>
      <c r="AA22">
        <f>HYPERLINK("https://klasma.github.io/Logging_1430/klagomål/A 45083-2024 FSC-klagomål.docx", "A 45083-2024")</f>
        <v/>
      </c>
      <c r="AB22">
        <f>HYPERLINK("https://klasma.github.io/Logging_1430/klagomålsmail/A 45083-2024 FSC-klagomål mail.docx", "A 45083-2024")</f>
        <v/>
      </c>
      <c r="AC22">
        <f>HYPERLINK("https://klasma.github.io/Logging_1430/tillsyn/A 45083-2024 tillsynsbegäran.docx", "A 45083-2024")</f>
        <v/>
      </c>
      <c r="AD22">
        <f>HYPERLINK("https://klasma.github.io/Logging_1430/tillsynsmail/A 45083-2024 tillsynsbegäran mail.docx", "A 45083-2024")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46324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46324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36912-2023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46324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Jaktfalk</t>
        </is>
      </c>
      <c r="W25">
        <f>HYPERLINK("https://klasma.github.io/Logging_1430/artfynd/A 36912-2023 artfynd.xlsx", "A 36912-2023")</f>
        <v/>
      </c>
      <c r="X25">
        <f>HYPERLINK("https://klasma.github.io/Logging_1430/kartor/A 36912-2023 karta.png", "A 36912-2023")</f>
        <v/>
      </c>
      <c r="Y25">
        <f>HYPERLINK("https://klasma.github.io/Logging_1430/kartor_geotiff/A 36912-2023 georefererad karta.tif", "A 36912-2023")</f>
        <v/>
      </c>
      <c r="AA25">
        <f>HYPERLINK("https://klasma.github.io/Logging_1430/klagomål/A 36912-2023 FSC-klagomål.docx", "A 36912-2023")</f>
        <v/>
      </c>
      <c r="AB25">
        <f>HYPERLINK("https://klasma.github.io/Logging_1430/klagomålsmail/A 36912-2023 FSC-klagomål mail.docx", "A 36912-2023")</f>
        <v/>
      </c>
      <c r="AC25">
        <f>HYPERLINK("https://klasma.github.io/Logging_1430/tillsyn/A 36912-2023 tillsynsbegäran.docx", "A 36912-2023")</f>
        <v/>
      </c>
      <c r="AD25">
        <f>HYPERLINK("https://klasma.github.io/Logging_1430/tillsynsmail/A 36912-2023 tillsynsbegäran mail.docx", "A 36912-2023")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46324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20258-2022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44698</v>
      </c>
      <c r="E27" s="1" t="n">
        <v>46324</v>
      </c>
      <c r="F27" t="inlineStr">
        <is>
          <t>VÄSTRA GÖTALANDS LÄN</t>
        </is>
      </c>
      <c r="G27" t="inlineStr">
        <is>
          <t>MUNKEDAL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Honungsvaxing</t>
        </is>
      </c>
      <c r="W27">
        <f>HYPERLINK("https://klasma.github.io/Logging_1430/artfynd/A 20258-2022 artfynd.xlsx", "A 20258-2022")</f>
        <v/>
      </c>
      <c r="X27">
        <f>HYPERLINK("https://klasma.github.io/Logging_1430/kartor/A 20258-2022 karta.png", "A 20258-2022")</f>
        <v/>
      </c>
      <c r="Y27">
        <f>HYPERLINK("https://klasma.github.io/Logging_1430/kartor_geotiff/A 20258-2022 georefererad karta.tif", "A 20258-2022")</f>
        <v/>
      </c>
      <c r="AA27">
        <f>HYPERLINK("https://klasma.github.io/Logging_1430/klagomål/A 20258-2022 FSC-klagomål.docx", "A 20258-2022")</f>
        <v/>
      </c>
      <c r="AB27">
        <f>HYPERLINK("https://klasma.github.io/Logging_1430/klagomålsmail/A 20258-2022 FSC-klagomål mail.docx", "A 20258-2022")</f>
        <v/>
      </c>
      <c r="AC27">
        <f>HYPERLINK("https://klasma.github.io/Logging_1430/tillsyn/A 20258-2022 tillsynsbegäran.docx", "A 20258-2022")</f>
        <v/>
      </c>
      <c r="AD27">
        <f>HYPERLINK("https://klasma.github.io/Logging_1430/tillsynsmail/A 20258-2022 tillsynsbegäran mail.docx", "A 20258-2022")</f>
        <v/>
      </c>
    </row>
    <row r="28" ht="15" customHeight="1">
      <c r="A28" t="inlineStr">
        <is>
          <t>A 62525-2021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46324</v>
      </c>
      <c r="F28" t="inlineStr">
        <is>
          <t>VÄSTRA GÖTALANDS LÄN</t>
        </is>
      </c>
      <c r="G28" t="inlineStr">
        <is>
          <t>MUNKEDAL</t>
        </is>
      </c>
      <c r="I28" t="n">
        <v>14.5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Trollsmultron</t>
        </is>
      </c>
      <c r="W28">
        <f>HYPERLINK("https://klasma.github.io/Logging_1430/artfynd/A 62525-2021 artfynd.xlsx", "A 62525-2021")</f>
        <v/>
      </c>
      <c r="X28">
        <f>HYPERLINK("https://klasma.github.io/Logging_1430/kartor/A 62525-2021 karta.png", "A 62525-2021")</f>
        <v/>
      </c>
      <c r="Y28">
        <f>HYPERLINK("https://klasma.github.io/Logging_1430/kartor_geotiff/A 62525-2021 georefererad karta.tif", "A 62525-2021")</f>
        <v/>
      </c>
      <c r="AA28">
        <f>HYPERLINK("https://klasma.github.io/Logging_1430/klagomål/A 62525-2021 FSC-klagomål.docx", "A 62525-2021")</f>
        <v/>
      </c>
      <c r="AB28">
        <f>HYPERLINK("https://klasma.github.io/Logging_1430/klagomålsmail/A 62525-2021 FSC-klagomål mail.docx", "A 62525-2021")</f>
        <v/>
      </c>
      <c r="AC28">
        <f>HYPERLINK("https://klasma.github.io/Logging_1430/tillsyn/A 62525-2021 tillsynsbegäran.docx", "A 62525-2021")</f>
        <v/>
      </c>
      <c r="AD28">
        <f>HYPERLINK("https://klasma.github.io/Logging_1430/tillsynsmail/A 62525-2021 tillsynsbegäran mail.docx", "A 62525-2021")</f>
        <v/>
      </c>
    </row>
    <row r="29" ht="15" customHeight="1">
      <c r="A29" t="inlineStr">
        <is>
          <t>S 622-2024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46324</v>
      </c>
      <c r="F29" t="inlineStr">
        <is>
          <t>VÄSTRA GÖTALANDS LÄN</t>
        </is>
      </c>
      <c r="G29" t="inlineStr">
        <is>
          <t>MUNKEDAL</t>
        </is>
      </c>
      <c r="I29" t="n">
        <v>22.5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HYPERLINK("https://klasma.github.io/Logging_1430/artfynd/S 622-2024 artfynd.xlsx", "S 622-2024")</f>
        <v/>
      </c>
      <c r="X29">
        <f>HYPERLINK("https://klasma.github.io/Logging_1430/kartor/S 622-2024 karta.png", "S 622-2024")</f>
        <v/>
      </c>
      <c r="Y29">
        <f>HYPERLINK("https://klasma.github.io/Logging_1430/kartor_geotiff/S 622-2024 georefererad karta.tif", "S 622-2024")</f>
        <v/>
      </c>
      <c r="AA29">
        <f>HYPERLINK("https://klasma.github.io/Logging_1430/klagomål/S 622-2024 FSC-klagomål.docx", "S 622-2024")</f>
        <v/>
      </c>
      <c r="AB29">
        <f>HYPERLINK("https://klasma.github.io/Logging_1430/klagomålsmail/S 622-2024 FSC-klagomål mail.docx", "S 622-2024")</f>
        <v/>
      </c>
      <c r="AC29">
        <f>HYPERLINK("https://klasma.github.io/Logging_1430/tillsyn/S 622-2024 tillsynsbegäran.docx", "S 622-2024")</f>
        <v/>
      </c>
      <c r="AD29">
        <f>HYPERLINK("https://klasma.github.io/Logging_1430/tillsynsmail/S 622-2024 tillsynsbegäran mail.docx", "S 622-2024")</f>
        <v/>
      </c>
      <c r="AE29">
        <f>HYPERLINK("https://klasma.github.io/Logging_1430/fåglar/S 622-2024 prioriterade fågelarter.docx", "S 622-2024")</f>
        <v/>
      </c>
    </row>
    <row r="30" ht="15" customHeight="1">
      <c r="A30" t="inlineStr">
        <is>
          <t>A 56037-2022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46324</v>
      </c>
      <c r="F30" t="inlineStr">
        <is>
          <t>VÄSTRA GÖTALANDS LÄN</t>
        </is>
      </c>
      <c r="G30" t="inlineStr">
        <is>
          <t>MUNKEDAL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73977-2021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44554</v>
      </c>
      <c r="E31" s="1" t="n">
        <v>46324</v>
      </c>
      <c r="F31" t="inlineStr">
        <is>
          <t>VÄSTRA GÖTALANDS LÄN</t>
        </is>
      </c>
      <c r="G31" t="inlineStr">
        <is>
          <t>MUNKEDAL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46324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46324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63901-2021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46324</v>
      </c>
      <c r="F34" t="inlineStr">
        <is>
          <t>VÄSTRA GÖTALANDS LÄN</t>
        </is>
      </c>
      <c r="G34" t="inlineStr">
        <is>
          <t>MUNKEDAL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46324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46324</v>
      </c>
      <c r="F36" t="inlineStr">
        <is>
          <t>VÄSTRA GÖTALANDS LÄN</t>
        </is>
      </c>
      <c r="G36" t="inlineStr">
        <is>
          <t>MUNKEDAL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46324</v>
      </c>
      <c r="F37" t="inlineStr">
        <is>
          <t>VÄSTRA GÖTALANDS LÄN</t>
        </is>
      </c>
      <c r="G37" t="inlineStr">
        <is>
          <t>MUNKEDAL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68333-2021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44527</v>
      </c>
      <c r="E38" s="1" t="n">
        <v>46324</v>
      </c>
      <c r="F38" t="inlineStr">
        <is>
          <t>VÄSTRA GÖTALANDS LÄN</t>
        </is>
      </c>
      <c r="G38" t="inlineStr">
        <is>
          <t>MUNKEDAL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46324</v>
      </c>
      <c r="F39" t="inlineStr">
        <is>
          <t>VÄSTRA GÖTALANDS LÄN</t>
        </is>
      </c>
      <c r="G39" t="inlineStr">
        <is>
          <t>MUNKEDAL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46324</v>
      </c>
      <c r="F40" t="inlineStr">
        <is>
          <t>VÄSTRA GÖTALANDS LÄN</t>
        </is>
      </c>
      <c r="G40" t="inlineStr">
        <is>
          <t>MUNKEDAL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46324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46324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46324</v>
      </c>
      <c r="F43" t="inlineStr">
        <is>
          <t>VÄSTRA GÖTALANDS LÄN</t>
        </is>
      </c>
      <c r="G43" t="inlineStr">
        <is>
          <t>MUNKEDAL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46324</v>
      </c>
      <c r="F44" t="inlineStr">
        <is>
          <t>VÄSTRA GÖTALANDS LÄN</t>
        </is>
      </c>
      <c r="G44" t="inlineStr">
        <is>
          <t>MUNKEDAL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46324</v>
      </c>
      <c r="F45" t="inlineStr">
        <is>
          <t>VÄSTRA GÖTALANDS LÄN</t>
        </is>
      </c>
      <c r="G45" t="inlineStr">
        <is>
          <t>MUNKEDAL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45325</v>
      </c>
      <c r="E46" s="1" t="n">
        <v>46324</v>
      </c>
      <c r="F46" t="inlineStr">
        <is>
          <t>VÄSTRA GÖTALANDS LÄN</t>
        </is>
      </c>
      <c r="G46" t="inlineStr">
        <is>
          <t>MUNKEDAL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19887-2022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44697</v>
      </c>
      <c r="E47" s="1" t="n">
        <v>46324</v>
      </c>
      <c r="F47" t="inlineStr">
        <is>
          <t>VÄSTRA GÖTALANDS LÄN</t>
        </is>
      </c>
      <c r="G47" t="inlineStr">
        <is>
          <t>MUNKEDAL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46324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45147</v>
      </c>
      <c r="E49" s="1" t="n">
        <v>46324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44683</v>
      </c>
      <c r="E50" s="1" t="n">
        <v>46324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46324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46324</v>
      </c>
      <c r="F52" t="inlineStr">
        <is>
          <t>VÄSTRA GÖTALANDS LÄN</t>
        </is>
      </c>
      <c r="G52" t="inlineStr">
        <is>
          <t>MUNKEDAL</t>
        </is>
      </c>
      <c r="H52" t="inlineStr">
        <is>
          <t>Övriga Aktiebolag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44609</v>
      </c>
      <c r="E53" s="1" t="n">
        <v>46324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45147</v>
      </c>
      <c r="E54" s="1" t="n">
        <v>46324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46324</v>
      </c>
      <c r="F55" t="inlineStr">
        <is>
          <t>VÄSTRA GÖTALANDS LÄN</t>
        </is>
      </c>
      <c r="G55" t="inlineStr">
        <is>
          <t>MUNKEDAL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44678</v>
      </c>
      <c r="E56" s="1" t="n">
        <v>46324</v>
      </c>
      <c r="F56" t="inlineStr">
        <is>
          <t>VÄSTRA GÖTALANDS LÄN</t>
        </is>
      </c>
      <c r="G56" t="inlineStr">
        <is>
          <t>MUNKEDAL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23527-2025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46324</v>
      </c>
      <c r="F57" t="inlineStr">
        <is>
          <t>VÄSTRA GÖTALANDS LÄN</t>
        </is>
      </c>
      <c r="G57" t="inlineStr">
        <is>
          <t>MUNKEDAL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44866</v>
      </c>
      <c r="E58" s="1" t="n">
        <v>46324</v>
      </c>
      <c r="F58" t="inlineStr">
        <is>
          <t>VÄSTRA GÖTALANDS LÄN</t>
        </is>
      </c>
      <c r="G58" t="inlineStr">
        <is>
          <t>MUNKEDAL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46324</v>
      </c>
      <c r="F59" t="inlineStr">
        <is>
          <t>VÄSTRA GÖTALANDS LÄN</t>
        </is>
      </c>
      <c r="G59" t="inlineStr">
        <is>
          <t>MUNKEDAL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18278-2025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45762</v>
      </c>
      <c r="E60" s="1" t="n">
        <v>46324</v>
      </c>
      <c r="F60" t="inlineStr">
        <is>
          <t>VÄSTRA GÖTALANDS LÄN</t>
        </is>
      </c>
      <c r="G60" t="inlineStr">
        <is>
          <t>MUNKEDAL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46324</v>
      </c>
      <c r="F61" t="inlineStr">
        <is>
          <t>VÄSTRA GÖTALANDS LÄN</t>
        </is>
      </c>
      <c r="G61" t="inlineStr">
        <is>
          <t>MUNKEDAL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45797</v>
      </c>
      <c r="E62" s="1" t="n">
        <v>46324</v>
      </c>
      <c r="F62" t="inlineStr">
        <is>
          <t>VÄSTRA GÖTALANDS LÄN</t>
        </is>
      </c>
      <c r="G62" t="inlineStr">
        <is>
          <t>MUNKEDAL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46324</v>
      </c>
      <c r="F63" t="inlineStr">
        <is>
          <t>VÄSTRA GÖTALANDS LÄN</t>
        </is>
      </c>
      <c r="G63" t="inlineStr">
        <is>
          <t>MUNKEDAL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45696</v>
      </c>
      <c r="E64" s="1" t="n">
        <v>46324</v>
      </c>
      <c r="F64" t="inlineStr">
        <is>
          <t>VÄSTRA GÖTALANDS LÄN</t>
        </is>
      </c>
      <c r="G64" t="inlineStr">
        <is>
          <t>MUNKEDAL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46324</v>
      </c>
      <c r="F65" t="inlineStr">
        <is>
          <t>VÄSTRA GÖTALANDS LÄN</t>
        </is>
      </c>
      <c r="G65" t="inlineStr">
        <is>
          <t>MUNKEDAL</t>
        </is>
      </c>
      <c r="I65" t="n">
        <v>20.2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46324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46324</v>
      </c>
      <c r="F67" t="inlineStr">
        <is>
          <t>VÄSTRA GÖTALANDS LÄN</t>
        </is>
      </c>
      <c r="G67" t="inlineStr">
        <is>
          <t>MUNKEDAL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61885-2023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46324</v>
      </c>
      <c r="F68" t="inlineStr">
        <is>
          <t>VÄSTRA GÖTALANDS LÄN</t>
        </is>
      </c>
      <c r="G68" t="inlineStr">
        <is>
          <t>MUNKEDAL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46324</v>
      </c>
      <c r="F69" t="inlineStr">
        <is>
          <t>VÄSTRA GÖTALANDS LÄN</t>
        </is>
      </c>
      <c r="G69" t="inlineStr">
        <is>
          <t>MUNKEDAL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45160</v>
      </c>
      <c r="E70" s="1" t="n">
        <v>46324</v>
      </c>
      <c r="F70" t="inlineStr">
        <is>
          <t>VÄSTRA GÖTALANDS LÄN</t>
        </is>
      </c>
      <c r="G70" t="inlineStr">
        <is>
          <t>MUNKEDAL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46324</v>
      </c>
      <c r="F71" t="inlineStr">
        <is>
          <t>VÄSTRA GÖTALANDS LÄN</t>
        </is>
      </c>
      <c r="G71" t="inlineStr">
        <is>
          <t>MUNKEDAL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51411-2022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46324</v>
      </c>
      <c r="F72" t="inlineStr">
        <is>
          <t>VÄSTRA GÖTALANDS LÄN</t>
        </is>
      </c>
      <c r="G72" t="inlineStr">
        <is>
          <t>MUNKEDAL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25406-2025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46324</v>
      </c>
      <c r="F73" t="inlineStr">
        <is>
          <t>VÄSTRA GÖTALANDS LÄN</t>
        </is>
      </c>
      <c r="G73" t="inlineStr">
        <is>
          <t>MUNKEDAL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53514-2024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45614</v>
      </c>
      <c r="E74" s="1" t="n">
        <v>46324</v>
      </c>
      <c r="F74" t="inlineStr">
        <is>
          <t>VÄSTRA GÖTALANDS LÄN</t>
        </is>
      </c>
      <c r="G74" t="inlineStr">
        <is>
          <t>MUNKEDAL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45488</v>
      </c>
      <c r="E75" s="1" t="n">
        <v>46324</v>
      </c>
      <c r="F75" t="inlineStr">
        <is>
          <t>VÄSTRA GÖTALANDS LÄN</t>
        </is>
      </c>
      <c r="G75" t="inlineStr">
        <is>
          <t>MUNKEDAL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45488</v>
      </c>
      <c r="E76" s="1" t="n">
        <v>46324</v>
      </c>
      <c r="F76" t="inlineStr">
        <is>
          <t>VÄSTRA GÖTALANDS LÄN</t>
        </is>
      </c>
      <c r="G76" t="inlineStr">
        <is>
          <t>MUNKEDAL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46324</v>
      </c>
      <c r="F77" t="inlineStr">
        <is>
          <t>VÄSTRA GÖTALANDS LÄN</t>
        </is>
      </c>
      <c r="G77" t="inlineStr">
        <is>
          <t>MUNKEDAL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44694</v>
      </c>
      <c r="E78" s="1" t="n">
        <v>46324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46324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Kyrkan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46324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Kyrkan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45678</v>
      </c>
      <c r="E81" s="1" t="n">
        <v>46324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46324</v>
      </c>
      <c r="F82" t="inlineStr">
        <is>
          <t>VÄSTRA GÖTALANDS LÄN</t>
        </is>
      </c>
      <c r="G82" t="inlineStr">
        <is>
          <t>MUNKEDAL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45557</v>
      </c>
      <c r="E83" s="1" t="n">
        <v>46324</v>
      </c>
      <c r="F83" t="inlineStr">
        <is>
          <t>VÄSTRA GÖTALANDS LÄN</t>
        </is>
      </c>
      <c r="G83" t="inlineStr">
        <is>
          <t>MUNKEDAL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46324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46324</v>
      </c>
      <c r="F85" t="inlineStr">
        <is>
          <t>VÄSTRA GÖTALANDS LÄN</t>
        </is>
      </c>
      <c r="G85" t="inlineStr">
        <is>
          <t>MUNKEDAL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46324</v>
      </c>
      <c r="F86" t="inlineStr">
        <is>
          <t>VÄSTRA GÖTALANDS LÄN</t>
        </is>
      </c>
      <c r="G86" t="inlineStr">
        <is>
          <t>MUNKEDAL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46324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46324</v>
      </c>
      <c r="F88" t="inlineStr">
        <is>
          <t>VÄSTRA GÖTALANDS LÄN</t>
        </is>
      </c>
      <c r="G88" t="inlineStr">
        <is>
          <t>MUNKEDAL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46324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46324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46324</v>
      </c>
      <c r="F91" t="inlineStr">
        <is>
          <t>VÄSTRA GÖTALANDS LÄN</t>
        </is>
      </c>
      <c r="G91" t="inlineStr">
        <is>
          <t>MUNKEDAL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46324</v>
      </c>
      <c r="F92" t="inlineStr">
        <is>
          <t>VÄSTRA GÖTALANDS LÄN</t>
        </is>
      </c>
      <c r="G92" t="inlineStr">
        <is>
          <t>MUNKEDAL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46324</v>
      </c>
      <c r="F93" t="inlineStr">
        <is>
          <t>VÄSTRA GÖTALANDS LÄN</t>
        </is>
      </c>
      <c r="G93" t="inlineStr">
        <is>
          <t>MUNKEDAL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46324</v>
      </c>
      <c r="F94" t="inlineStr">
        <is>
          <t>VÄSTRA GÖTALANDS LÄN</t>
        </is>
      </c>
      <c r="G94" t="inlineStr">
        <is>
          <t>MUNKEDAL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45678</v>
      </c>
      <c r="E95" s="1" t="n">
        <v>46324</v>
      </c>
      <c r="F95" t="inlineStr">
        <is>
          <t>VÄSTRA GÖTALANDS LÄN</t>
        </is>
      </c>
      <c r="G95" t="inlineStr">
        <is>
          <t>MUNKEDAL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46324</v>
      </c>
      <c r="F96" t="inlineStr">
        <is>
          <t>VÄSTRA GÖTALANDS LÄN</t>
        </is>
      </c>
      <c r="G96" t="inlineStr">
        <is>
          <t>MUNKEDAL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62331-2023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46324</v>
      </c>
      <c r="F97" t="inlineStr">
        <is>
          <t>VÄSTRA GÖTALANDS LÄN</t>
        </is>
      </c>
      <c r="G97" t="inlineStr">
        <is>
          <t>MUNKEDAL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24088-2024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46324</v>
      </c>
      <c r="F98" t="inlineStr">
        <is>
          <t>VÄSTRA GÖTALANDS LÄN</t>
        </is>
      </c>
      <c r="G98" t="inlineStr">
        <is>
          <t>MUNKEDAL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46324</v>
      </c>
      <c r="F99" t="inlineStr">
        <is>
          <t>VÄSTRA GÖTALANDS LÄN</t>
        </is>
      </c>
      <c r="G99" t="inlineStr">
        <is>
          <t>MUNKEDAL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46324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46324</v>
      </c>
      <c r="F101" t="inlineStr">
        <is>
          <t>VÄSTRA GÖTALANDS LÄN</t>
        </is>
      </c>
      <c r="G101" t="inlineStr">
        <is>
          <t>MUNKEDAL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46324</v>
      </c>
      <c r="F102" t="inlineStr">
        <is>
          <t>VÄSTRA GÖTALANDS LÄN</t>
        </is>
      </c>
      <c r="G102" t="inlineStr">
        <is>
          <t>MUNKEDAL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46324</v>
      </c>
      <c r="F103" t="inlineStr">
        <is>
          <t>VÄSTRA GÖTALANDS LÄN</t>
        </is>
      </c>
      <c r="G103" t="inlineStr">
        <is>
          <t>MUNKEDAL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46324</v>
      </c>
      <c r="F104" t="inlineStr">
        <is>
          <t>VÄSTRA GÖTALANDS LÄN</t>
        </is>
      </c>
      <c r="G104" t="inlineStr">
        <is>
          <t>MUNKEDAL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45902</v>
      </c>
      <c r="E105" s="1" t="n">
        <v>46324</v>
      </c>
      <c r="F105" t="inlineStr">
        <is>
          <t>VÄSTRA GÖTALANDS LÄN</t>
        </is>
      </c>
      <c r="G105" t="inlineStr">
        <is>
          <t>MUNKEDAL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45902</v>
      </c>
      <c r="E106" s="1" t="n">
        <v>46324</v>
      </c>
      <c r="F106" t="inlineStr">
        <is>
          <t>VÄSTRA GÖTALANDS LÄN</t>
        </is>
      </c>
      <c r="G106" t="inlineStr">
        <is>
          <t>MUNKEDAL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46324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46324</v>
      </c>
      <c r="F108" t="inlineStr">
        <is>
          <t>VÄSTRA GÖTALANDS LÄN</t>
        </is>
      </c>
      <c r="G108" t="inlineStr">
        <is>
          <t>MUNKEDAL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60228-2024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45640</v>
      </c>
      <c r="E109" s="1" t="n">
        <v>46324</v>
      </c>
      <c r="F109" t="inlineStr">
        <is>
          <t>VÄSTRA GÖTALANDS LÄN</t>
        </is>
      </c>
      <c r="G109" t="inlineStr">
        <is>
          <t>MUNKEDAL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46324</v>
      </c>
      <c r="F110" t="inlineStr">
        <is>
          <t>VÄSTRA GÖTALANDS LÄN</t>
        </is>
      </c>
      <c r="G110" t="inlineStr">
        <is>
          <t>MUNKEDAL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46324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46324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46324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46324</v>
      </c>
      <c r="F114" t="inlineStr">
        <is>
          <t>VÄSTRA GÖTALANDS LÄN</t>
        </is>
      </c>
      <c r="G114" t="inlineStr">
        <is>
          <t>MUNKEDAL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46324</v>
      </c>
      <c r="F115" t="inlineStr">
        <is>
          <t>VÄSTRA GÖTALANDS LÄN</t>
        </is>
      </c>
      <c r="G115" t="inlineStr">
        <is>
          <t>MUNKEDAL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45921</v>
      </c>
      <c r="E116" s="1" t="n">
        <v>46324</v>
      </c>
      <c r="F116" t="inlineStr">
        <is>
          <t>VÄSTRA GÖTALANDS LÄN</t>
        </is>
      </c>
      <c r="G116" t="inlineStr">
        <is>
          <t>MUNKEDAL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46324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46324</v>
      </c>
      <c r="F118" t="inlineStr">
        <is>
          <t>VÄSTRA GÖTALANDS LÄN</t>
        </is>
      </c>
      <c r="G118" t="inlineStr">
        <is>
          <t>MUNKEDAL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46324</v>
      </c>
      <c r="F119" t="inlineStr">
        <is>
          <t>VÄSTRA GÖTALANDS LÄN</t>
        </is>
      </c>
      <c r="G119" t="inlineStr">
        <is>
          <t>MUNKEDAL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46324</v>
      </c>
      <c r="F120" t="inlineStr">
        <is>
          <t>VÄSTRA GÖTALANDS LÄN</t>
        </is>
      </c>
      <c r="G120" t="inlineStr">
        <is>
          <t>MUNKEDAL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46324</v>
      </c>
      <c r="F121" t="inlineStr">
        <is>
          <t>VÄSTRA GÖTALANDS LÄN</t>
        </is>
      </c>
      <c r="G121" t="inlineStr">
        <is>
          <t>MUNKEDAL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44580</v>
      </c>
      <c r="E122" s="1" t="n">
        <v>46324</v>
      </c>
      <c r="F122" t="inlineStr">
        <is>
          <t>VÄSTRA GÖTALANDS LÄN</t>
        </is>
      </c>
      <c r="G122" t="inlineStr">
        <is>
          <t>MUNKEDAL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46324</v>
      </c>
      <c r="F123" t="inlineStr">
        <is>
          <t>VÄSTRA GÖTALANDS LÄN</t>
        </is>
      </c>
      <c r="G123" t="inlineStr">
        <is>
          <t>MUNKEDAL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46324</v>
      </c>
      <c r="F124" t="inlineStr">
        <is>
          <t>VÄSTRA GÖTALANDS LÄN</t>
        </is>
      </c>
      <c r="G124" t="inlineStr">
        <is>
          <t>MUNKEDAL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45630</v>
      </c>
      <c r="E125" s="1" t="n">
        <v>46324</v>
      </c>
      <c r="F125" t="inlineStr">
        <is>
          <t>VÄSTRA GÖTALANDS LÄN</t>
        </is>
      </c>
      <c r="G125" t="inlineStr">
        <is>
          <t>MUNKEDAL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45755</v>
      </c>
      <c r="E126" s="1" t="n">
        <v>46324</v>
      </c>
      <c r="F126" t="inlineStr">
        <is>
          <t>VÄSTRA GÖTALANDS LÄN</t>
        </is>
      </c>
      <c r="G126" t="inlineStr">
        <is>
          <t>MUNKEDAL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46324</v>
      </c>
      <c r="F127" t="inlineStr">
        <is>
          <t>VÄSTRA GÖTALANDS LÄN</t>
        </is>
      </c>
      <c r="G127" t="inlineStr">
        <is>
          <t>MUNKEDAL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46324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53424-2023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46324</v>
      </c>
      <c r="F129" t="inlineStr">
        <is>
          <t>VÄSTRA GÖTALANDS LÄN</t>
        </is>
      </c>
      <c r="G129" t="inlineStr">
        <is>
          <t>MUNKEDAL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46324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44904</v>
      </c>
      <c r="E131" s="1" t="n">
        <v>46324</v>
      </c>
      <c r="F131" t="inlineStr">
        <is>
          <t>VÄSTRA GÖTALANDS LÄN</t>
        </is>
      </c>
      <c r="G131" t="inlineStr">
        <is>
          <t>MUNKEDAL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46324</v>
      </c>
      <c r="F132" t="inlineStr">
        <is>
          <t>VÄSTRA GÖTALANDS LÄN</t>
        </is>
      </c>
      <c r="G132" t="inlineStr">
        <is>
          <t>MUNKEDAL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46324</v>
      </c>
      <c r="F133" t="inlineStr">
        <is>
          <t>VÄSTRA GÖTALANDS LÄN</t>
        </is>
      </c>
      <c r="G133" t="inlineStr">
        <is>
          <t>MUNKEDAL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46324</v>
      </c>
      <c r="F134" t="inlineStr">
        <is>
          <t>VÄSTRA GÖTALANDS LÄN</t>
        </is>
      </c>
      <c r="G134" t="inlineStr">
        <is>
          <t>MUNKEDAL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46324</v>
      </c>
      <c r="F135" t="inlineStr">
        <is>
          <t>VÄSTRA GÖTALANDS LÄN</t>
        </is>
      </c>
      <c r="G135" t="inlineStr">
        <is>
          <t>MUNKEDAL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46324</v>
      </c>
      <c r="F136" t="inlineStr">
        <is>
          <t>VÄSTRA GÖTALANDS LÄN</t>
        </is>
      </c>
      <c r="G136" t="inlineStr">
        <is>
          <t>MUNKEDAL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46324</v>
      </c>
      <c r="F137" t="inlineStr">
        <is>
          <t>VÄSTRA GÖTALANDS LÄN</t>
        </is>
      </c>
      <c r="G137" t="inlineStr">
        <is>
          <t>MUNKEDAL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46324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46324</v>
      </c>
      <c r="F139" t="inlineStr">
        <is>
          <t>VÄSTRA GÖTALANDS LÄN</t>
        </is>
      </c>
      <c r="G139" t="inlineStr">
        <is>
          <t>MUNKEDAL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46324</v>
      </c>
      <c r="F140" t="inlineStr">
        <is>
          <t>VÄSTRA GÖTALANDS LÄN</t>
        </is>
      </c>
      <c r="G140" t="inlineStr">
        <is>
          <t>MUNKEDAL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46324</v>
      </c>
      <c r="F141" t="inlineStr">
        <is>
          <t>VÄSTRA GÖTALANDS LÄN</t>
        </is>
      </c>
      <c r="G141" t="inlineStr">
        <is>
          <t>MUNKEDAL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46324</v>
      </c>
      <c r="F142" t="inlineStr">
        <is>
          <t>VÄSTRA GÖTALANDS LÄN</t>
        </is>
      </c>
      <c r="G142" t="inlineStr">
        <is>
          <t>MUNKEDAL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45351</v>
      </c>
      <c r="E143" s="1" t="n">
        <v>46324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Övriga Aktiebolag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46324</v>
      </c>
      <c r="F144" t="inlineStr">
        <is>
          <t>VÄSTRA GÖTALANDS LÄN</t>
        </is>
      </c>
      <c r="G144" t="inlineStr">
        <is>
          <t>MUNKEDAL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46324</v>
      </c>
      <c r="F145" t="inlineStr">
        <is>
          <t>VÄSTRA GÖTALANDS LÄN</t>
        </is>
      </c>
      <c r="G145" t="inlineStr">
        <is>
          <t>MUNKEDAL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46324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46324</v>
      </c>
      <c r="F147" t="inlineStr">
        <is>
          <t>VÄSTRA GÖTALANDS LÄN</t>
        </is>
      </c>
      <c r="G147" t="inlineStr">
        <is>
          <t>MUNKEDAL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45127</v>
      </c>
      <c r="E148" s="1" t="n">
        <v>46324</v>
      </c>
      <c r="F148" t="inlineStr">
        <is>
          <t>VÄSTRA GÖTALANDS LÄN</t>
        </is>
      </c>
      <c r="G148" t="inlineStr">
        <is>
          <t>MUNKEDAL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45484</v>
      </c>
      <c r="E149" s="1" t="n">
        <v>46324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Övriga Aktiebolag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45709</v>
      </c>
      <c r="E150" s="1" t="n">
        <v>46324</v>
      </c>
      <c r="F150" t="inlineStr">
        <is>
          <t>VÄSTRA GÖTALANDS LÄN</t>
        </is>
      </c>
      <c r="G150" t="inlineStr">
        <is>
          <t>MUNKEDAL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46324</v>
      </c>
      <c r="F151" t="inlineStr">
        <is>
          <t>VÄSTRA GÖTALANDS LÄN</t>
        </is>
      </c>
      <c r="G151" t="inlineStr">
        <is>
          <t>MUNKEDAL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45881</v>
      </c>
      <c r="E152" s="1" t="n">
        <v>46324</v>
      </c>
      <c r="F152" t="inlineStr">
        <is>
          <t>VÄSTRA GÖTALANDS LÄN</t>
        </is>
      </c>
      <c r="G152" t="inlineStr">
        <is>
          <t>MUNKEDAL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45667</v>
      </c>
      <c r="E153" s="1" t="n">
        <v>46324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45618</v>
      </c>
      <c r="E154" s="1" t="n">
        <v>46324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46324</v>
      </c>
      <c r="F155" t="inlineStr">
        <is>
          <t>VÄSTRA GÖTALANDS LÄN</t>
        </is>
      </c>
      <c r="G155" t="inlineStr">
        <is>
          <t>MUNKEDAL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46324</v>
      </c>
      <c r="F156" t="inlineStr">
        <is>
          <t>VÄSTRA GÖTALANDS LÄN</t>
        </is>
      </c>
      <c r="G156" t="inlineStr">
        <is>
          <t>MUNKEDAL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46324</v>
      </c>
      <c r="F157" t="inlineStr">
        <is>
          <t>VÄSTRA GÖTALANDS LÄN</t>
        </is>
      </c>
      <c r="G157" t="inlineStr">
        <is>
          <t>MUNKEDAL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45522</v>
      </c>
      <c r="E158" s="1" t="n">
        <v>46324</v>
      </c>
      <c r="F158" t="inlineStr">
        <is>
          <t>VÄSTRA GÖTALANDS LÄN</t>
        </is>
      </c>
      <c r="G158" t="inlineStr">
        <is>
          <t>MUNKEDAL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46324</v>
      </c>
      <c r="F159" t="inlineStr">
        <is>
          <t>VÄSTRA GÖTALANDS LÄN</t>
        </is>
      </c>
      <c r="G159" t="inlineStr">
        <is>
          <t>MUNKEDAL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46324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46324</v>
      </c>
      <c r="F161" t="inlineStr">
        <is>
          <t>VÄSTRA GÖTALANDS LÄN</t>
        </is>
      </c>
      <c r="G161" t="inlineStr">
        <is>
          <t>MUNKEDAL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46324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Övriga Aktiebolag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53891-2023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46324</v>
      </c>
      <c r="F163" t="inlineStr">
        <is>
          <t>VÄSTRA GÖTALANDS LÄN</t>
        </is>
      </c>
      <c r="G163" t="inlineStr">
        <is>
          <t>MUNKEDAL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45478</v>
      </c>
      <c r="E164" s="1" t="n">
        <v>46324</v>
      </c>
      <c r="F164" t="inlineStr">
        <is>
          <t>VÄSTRA GÖTALANDS LÄN</t>
        </is>
      </c>
      <c r="G164" t="inlineStr">
        <is>
          <t>MUNKEDAL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46324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13658-2025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46324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45981</v>
      </c>
      <c r="E167" s="1" t="n">
        <v>46324</v>
      </c>
      <c r="F167" t="inlineStr">
        <is>
          <t>VÄSTRA GÖTALANDS LÄN</t>
        </is>
      </c>
      <c r="G167" t="inlineStr">
        <is>
          <t>MUNKEDAL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55438-2025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46324</v>
      </c>
      <c r="F168" t="inlineStr">
        <is>
          <t>VÄSTRA GÖTALANDS LÄN</t>
        </is>
      </c>
      <c r="G168" t="inlineStr">
        <is>
          <t>MUNKEDAL</t>
        </is>
      </c>
      <c r="I168" t="n">
        <v>16.3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46324</v>
      </c>
      <c r="F169" t="inlineStr">
        <is>
          <t>VÄSTRA GÖTALANDS LÄN</t>
        </is>
      </c>
      <c r="G169" t="inlineStr">
        <is>
          <t>MUNKEDAL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46324</v>
      </c>
      <c r="F170" t="inlineStr">
        <is>
          <t>VÄSTRA GÖTALANDS LÄN</t>
        </is>
      </c>
      <c r="G170" t="inlineStr">
        <is>
          <t>MUNKEDAL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46324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45982</v>
      </c>
      <c r="E172" s="1" t="n">
        <v>46324</v>
      </c>
      <c r="F172" t="inlineStr">
        <is>
          <t>VÄSTRA GÖTALANDS LÄN</t>
        </is>
      </c>
      <c r="G172" t="inlineStr">
        <is>
          <t>MUNKEDAL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46324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46324</v>
      </c>
      <c r="F174" t="inlineStr">
        <is>
          <t>VÄSTRA GÖTALANDS LÄN</t>
        </is>
      </c>
      <c r="G174" t="inlineStr">
        <is>
          <t>MUNKEDAL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59160-2022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46324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46160</v>
      </c>
      <c r="E176" s="1" t="n">
        <v>46324</v>
      </c>
      <c r="F176" t="inlineStr">
        <is>
          <t>VÄSTRA GÖTALANDS LÄN</t>
        </is>
      </c>
      <c r="G176" t="inlineStr">
        <is>
          <t>MUNKEDAL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46324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statliga verk och myndigheter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30456-2023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46324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Naturvårdsverket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46324</v>
      </c>
      <c r="F179" t="inlineStr">
        <is>
          <t>VÄSTRA GÖTALANDS LÄN</t>
        </is>
      </c>
      <c r="G179" t="inlineStr">
        <is>
          <t>MUNKEDAL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23876-2026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46167</v>
      </c>
      <c r="E180" s="1" t="n">
        <v>46324</v>
      </c>
      <c r="F180" t="inlineStr">
        <is>
          <t>VÄSTRA GÖTALANDS LÄN</t>
        </is>
      </c>
      <c r="G180" t="inlineStr">
        <is>
          <t>MUNKEDAL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46324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46324</v>
      </c>
      <c r="F182" t="inlineStr">
        <is>
          <t>VÄSTRA GÖTALANDS LÄN</t>
        </is>
      </c>
      <c r="G182" t="inlineStr">
        <is>
          <t>MUNKEDAL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46324</v>
      </c>
      <c r="F183" t="inlineStr">
        <is>
          <t>VÄSTRA GÖTALANDS LÄN</t>
        </is>
      </c>
      <c r="G183" t="inlineStr">
        <is>
          <t>MUNKEDAL</t>
        </is>
      </c>
      <c r="I183" t="n">
        <v>17.5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46324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58617-2023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45251</v>
      </c>
      <c r="E185" s="1" t="n">
        <v>46324</v>
      </c>
      <c r="F185" t="inlineStr">
        <is>
          <t>VÄSTRA GÖTALANDS LÄN</t>
        </is>
      </c>
      <c r="G185" t="inlineStr">
        <is>
          <t>MUNKEDAL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46324</v>
      </c>
      <c r="F186" t="inlineStr">
        <is>
          <t>VÄSTRA GÖTALANDS LÄN</t>
        </is>
      </c>
      <c r="G186" t="inlineStr">
        <is>
          <t>MUNKEDAL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46324</v>
      </c>
      <c r="F187" t="inlineStr">
        <is>
          <t>VÄSTRA GÖTALANDS LÄN</t>
        </is>
      </c>
      <c r="G187" t="inlineStr">
        <is>
          <t>MUNKEDAL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46324</v>
      </c>
      <c r="F188" t="inlineStr">
        <is>
          <t>VÄSTRA GÖTALANDS LÄN</t>
        </is>
      </c>
      <c r="G188" t="inlineStr">
        <is>
          <t>MUNKEDAL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44608</v>
      </c>
      <c r="E189" s="1" t="n">
        <v>46324</v>
      </c>
      <c r="F189" t="inlineStr">
        <is>
          <t>VÄSTRA GÖTALANDS LÄN</t>
        </is>
      </c>
      <c r="G189" t="inlineStr">
        <is>
          <t>MUNKEDAL</t>
        </is>
      </c>
      <c r="I189" t="n">
        <v>15.4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46324</v>
      </c>
      <c r="F190" t="inlineStr">
        <is>
          <t>VÄSTRA GÖTALANDS LÄN</t>
        </is>
      </c>
      <c r="G190" t="inlineStr">
        <is>
          <t>MUNKEDAL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46324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19.1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45215</v>
      </c>
      <c r="E192" s="1" t="n">
        <v>46324</v>
      </c>
      <c r="F192" t="inlineStr">
        <is>
          <t>VÄSTRA GÖTALANDS LÄN</t>
        </is>
      </c>
      <c r="G192" t="inlineStr">
        <is>
          <t>MUNKEDAL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46324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Kommuner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46324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Naturvårdsverket</t>
        </is>
      </c>
      <c r="I194" t="n">
        <v>15.8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46324</v>
      </c>
      <c r="F195" t="inlineStr">
        <is>
          <t>VÄSTRA GÖTALANDS LÄN</t>
        </is>
      </c>
      <c r="G195" t="inlineStr">
        <is>
          <t>MUNKEDAL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46324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46324</v>
      </c>
      <c r="F197" t="inlineStr">
        <is>
          <t>VÄSTRA GÖTALANDS LÄN</t>
        </is>
      </c>
      <c r="G197" t="inlineStr">
        <is>
          <t>MUNKEDAL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46003</v>
      </c>
      <c r="E198" s="1" t="n">
        <v>46324</v>
      </c>
      <c r="F198" t="inlineStr">
        <is>
          <t>VÄSTRA GÖTALANDS LÄN</t>
        </is>
      </c>
      <c r="G198" t="inlineStr">
        <is>
          <t>MUNKEDAL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46324</v>
      </c>
      <c r="F199" t="inlineStr">
        <is>
          <t>VÄSTRA GÖTALANDS LÄN</t>
        </is>
      </c>
      <c r="G199" t="inlineStr">
        <is>
          <t>MUNKEDAL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46324</v>
      </c>
      <c r="F200" t="inlineStr">
        <is>
          <t>VÄSTRA GÖTALANDS LÄN</t>
        </is>
      </c>
      <c r="G200" t="inlineStr">
        <is>
          <t>MUNKEDAL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46324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Kyrkan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46324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46324</v>
      </c>
      <c r="F203" t="inlineStr">
        <is>
          <t>VÄSTRA GÖTALANDS LÄN</t>
        </is>
      </c>
      <c r="G203" t="inlineStr">
        <is>
          <t>MUNKEDAL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46324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45456</v>
      </c>
      <c r="E205" s="1" t="n">
        <v>46324</v>
      </c>
      <c r="F205" t="inlineStr">
        <is>
          <t>VÄSTRA GÖTALANDS LÄN</t>
        </is>
      </c>
      <c r="G205" t="inlineStr">
        <is>
          <t>MUNKEDAL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64879-2023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45282</v>
      </c>
      <c r="E206" s="1" t="n">
        <v>46324</v>
      </c>
      <c r="F206" t="inlineStr">
        <is>
          <t>VÄSTRA GÖTALANDS LÄN</t>
        </is>
      </c>
      <c r="G206" t="inlineStr">
        <is>
          <t>MUNKEDAL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46324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46324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46324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Kommuner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46324</v>
      </c>
      <c r="F210" t="inlineStr">
        <is>
          <t>VÄSTRA GÖTALANDS LÄN</t>
        </is>
      </c>
      <c r="G210" t="inlineStr">
        <is>
          <t>MUNKEDAL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46022</v>
      </c>
      <c r="E211" s="1" t="n">
        <v>46324</v>
      </c>
      <c r="F211" t="inlineStr">
        <is>
          <t>VÄSTRA GÖTALANDS LÄN</t>
        </is>
      </c>
      <c r="G211" t="inlineStr">
        <is>
          <t>MUNKEDAL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46022</v>
      </c>
      <c r="E212" s="1" t="n">
        <v>46324</v>
      </c>
      <c r="F212" t="inlineStr">
        <is>
          <t>VÄSTRA GÖTALANDS LÄN</t>
        </is>
      </c>
      <c r="G212" t="inlineStr">
        <is>
          <t>MUNKEDAL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46324</v>
      </c>
      <c r="F213" t="inlineStr">
        <is>
          <t>VÄSTRA GÖTALANDS LÄN</t>
        </is>
      </c>
      <c r="G213" t="inlineStr">
        <is>
          <t>MUNKEDAL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15853-2023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46324</v>
      </c>
      <c r="F214" t="inlineStr">
        <is>
          <t>VÄSTRA GÖTALANDS LÄN</t>
        </is>
      </c>
      <c r="G214" t="inlineStr">
        <is>
          <t>MUNKEDAL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46324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45640</v>
      </c>
      <c r="E216" s="1" t="n">
        <v>46324</v>
      </c>
      <c r="F216" t="inlineStr">
        <is>
          <t>VÄSTRA GÖTALANDS LÄN</t>
        </is>
      </c>
      <c r="G216" t="inlineStr">
        <is>
          <t>MUNKEDAL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46324</v>
      </c>
      <c r="F217" t="inlineStr">
        <is>
          <t>VÄSTRA GÖTALANDS LÄN</t>
        </is>
      </c>
      <c r="G217" t="inlineStr">
        <is>
          <t>MUNKEDAL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46324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46324</v>
      </c>
      <c r="F219" t="inlineStr">
        <is>
          <t>VÄSTRA GÖTALANDS LÄN</t>
        </is>
      </c>
      <c r="G219" t="inlineStr">
        <is>
          <t>MUNKEDAL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45620</v>
      </c>
      <c r="E220" s="1" t="n">
        <v>46324</v>
      </c>
      <c r="F220" t="inlineStr">
        <is>
          <t>VÄSTRA GÖTALANDS LÄN</t>
        </is>
      </c>
      <c r="G220" t="inlineStr">
        <is>
          <t>MUNKEDAL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46324</v>
      </c>
      <c r="F221" t="inlineStr">
        <is>
          <t>VÄSTRA GÖTALANDS LÄN</t>
        </is>
      </c>
      <c r="G221" t="inlineStr">
        <is>
          <t>MUNKEDAL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46324</v>
      </c>
      <c r="F222" t="inlineStr">
        <is>
          <t>VÄSTRA GÖTALANDS LÄN</t>
        </is>
      </c>
      <c r="G222" t="inlineStr">
        <is>
          <t>MUNKEDAL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45820</v>
      </c>
      <c r="E223" s="1" t="n">
        <v>46324</v>
      </c>
      <c r="F223" t="inlineStr">
        <is>
          <t>VÄSTRA GÖTALANDS LÄN</t>
        </is>
      </c>
      <c r="G223" t="inlineStr">
        <is>
          <t>MUNKEDAL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45371</v>
      </c>
      <c r="E224" s="1" t="n">
        <v>46324</v>
      </c>
      <c r="F224" t="inlineStr">
        <is>
          <t>VÄSTRA GÖTALANDS LÄN</t>
        </is>
      </c>
      <c r="G224" t="inlineStr">
        <is>
          <t>MUNKEDAL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46324</v>
      </c>
      <c r="F225" t="inlineStr">
        <is>
          <t>VÄSTRA GÖTALANDS LÄN</t>
        </is>
      </c>
      <c r="G225" t="inlineStr">
        <is>
          <t>MUNKEDAL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45111</v>
      </c>
      <c r="E226" s="1" t="n">
        <v>46324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46324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46324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Övriga Aktiebolag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46324</v>
      </c>
      <c r="F229" t="inlineStr">
        <is>
          <t>VÄSTRA GÖTALANDS LÄN</t>
        </is>
      </c>
      <c r="G229" t="inlineStr">
        <is>
          <t>MUNKEDAL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44588</v>
      </c>
      <c r="E230" s="1" t="n">
        <v>46324</v>
      </c>
      <c r="F230" t="inlineStr">
        <is>
          <t>VÄSTRA GÖTALANDS LÄN</t>
        </is>
      </c>
      <c r="G230" t="inlineStr">
        <is>
          <t>MUNKEDAL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46324</v>
      </c>
      <c r="F231" t="inlineStr">
        <is>
          <t>VÄSTRA GÖTALANDS LÄN</t>
        </is>
      </c>
      <c r="G231" t="inlineStr">
        <is>
          <t>MUNKEDAL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46324</v>
      </c>
      <c r="F232" t="inlineStr">
        <is>
          <t>VÄSTRA GÖTALANDS LÄN</t>
        </is>
      </c>
      <c r="G232" t="inlineStr">
        <is>
          <t>MUNKEDAL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46047</v>
      </c>
      <c r="E233" s="1" t="n">
        <v>46324</v>
      </c>
      <c r="F233" t="inlineStr">
        <is>
          <t>VÄSTRA GÖTALANDS LÄN</t>
        </is>
      </c>
      <c r="G233" t="inlineStr">
        <is>
          <t>MUNKEDAL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46324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Kyrkan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67233-2021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44523</v>
      </c>
      <c r="E235" s="1" t="n">
        <v>46324</v>
      </c>
      <c r="F235" t="inlineStr">
        <is>
          <t>VÄSTRA GÖTALANDS LÄN</t>
        </is>
      </c>
      <c r="G235" t="inlineStr">
        <is>
          <t>MUNKEDAL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45076</v>
      </c>
      <c r="E236" s="1" t="n">
        <v>46324</v>
      </c>
      <c r="F236" t="inlineStr">
        <is>
          <t>VÄSTRA GÖTALANDS LÄN</t>
        </is>
      </c>
      <c r="G236" t="inlineStr">
        <is>
          <t>MUNKEDAL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46188</v>
      </c>
      <c r="E237" s="1" t="n">
        <v>46324</v>
      </c>
      <c r="F237" t="inlineStr">
        <is>
          <t>VÄSTRA GÖTALANDS LÄN</t>
        </is>
      </c>
      <c r="G237" t="inlineStr">
        <is>
          <t>MUNKEDAL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46324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46324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Övriga Aktiebolag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46059</v>
      </c>
      <c r="E240" s="1" t="n">
        <v>46324</v>
      </c>
      <c r="F240" t="inlineStr">
        <is>
          <t>VÄSTRA GÖTALANDS LÄN</t>
        </is>
      </c>
      <c r="G240" t="inlineStr">
        <is>
          <t>MUNKEDAL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46324</v>
      </c>
      <c r="F241" t="inlineStr">
        <is>
          <t>VÄSTRA GÖTALANDS LÄN</t>
        </is>
      </c>
      <c r="G241" t="inlineStr">
        <is>
          <t>MUNKEDAL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46324</v>
      </c>
      <c r="F242" t="inlineStr">
        <is>
          <t>VÄSTRA GÖTALANDS LÄN</t>
        </is>
      </c>
      <c r="G242" t="inlineStr">
        <is>
          <t>MUNKEDAL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46324</v>
      </c>
      <c r="F243" t="inlineStr">
        <is>
          <t>VÄSTRA GÖTALANDS LÄN</t>
        </is>
      </c>
      <c r="G243" t="inlineStr">
        <is>
          <t>MUNKEDAL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46324</v>
      </c>
      <c r="F244" t="inlineStr">
        <is>
          <t>VÄSTRA GÖTALANDS LÄN</t>
        </is>
      </c>
      <c r="G244" t="inlineStr">
        <is>
          <t>MUNKEDAL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46324</v>
      </c>
      <c r="F245" t="inlineStr">
        <is>
          <t>VÄSTRA GÖTALANDS LÄN</t>
        </is>
      </c>
      <c r="G245" t="inlineStr">
        <is>
          <t>MUNKEDAL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46324</v>
      </c>
      <c r="F246" t="inlineStr">
        <is>
          <t>VÄSTRA GÖTALANDS LÄN</t>
        </is>
      </c>
      <c r="G246" t="inlineStr">
        <is>
          <t>MUNKEDAL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46073</v>
      </c>
      <c r="E247" s="1" t="n">
        <v>46324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45296</v>
      </c>
      <c r="E248" s="1" t="n">
        <v>46324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46078</v>
      </c>
      <c r="E249" s="1" t="n">
        <v>46324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45750</v>
      </c>
      <c r="E250" s="1" t="n">
        <v>46324</v>
      </c>
      <c r="F250" t="inlineStr">
        <is>
          <t>VÄSTRA GÖTALANDS LÄN</t>
        </is>
      </c>
      <c r="G250" t="inlineStr">
        <is>
          <t>MUNKEDAL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46324</v>
      </c>
      <c r="F251" t="inlineStr">
        <is>
          <t>VÄSTRA GÖTALANDS LÄN</t>
        </is>
      </c>
      <c r="G251" t="inlineStr">
        <is>
          <t>MUNKEDAL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46324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46324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Kyrkan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46324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Kyrkan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46324</v>
      </c>
      <c r="F255" t="inlineStr">
        <is>
          <t>VÄSTRA GÖTALANDS LÄN</t>
        </is>
      </c>
      <c r="G255" t="inlineStr">
        <is>
          <t>MUNKEDAL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46324</v>
      </c>
      <c r="F256" t="inlineStr">
        <is>
          <t>VÄSTRA GÖTALANDS LÄN</t>
        </is>
      </c>
      <c r="G256" t="inlineStr">
        <is>
          <t>MUNKEDAL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46324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46324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44861</v>
      </c>
      <c r="E259" s="1" t="n">
        <v>46324</v>
      </c>
      <c r="F259" t="inlineStr">
        <is>
          <t>VÄSTRA GÖTALANDS LÄN</t>
        </is>
      </c>
      <c r="G259" t="inlineStr">
        <is>
          <t>MUNKEDAL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46324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46324</v>
      </c>
      <c r="F261" t="inlineStr">
        <is>
          <t>VÄSTRA GÖTALANDS LÄN</t>
        </is>
      </c>
      <c r="G261" t="inlineStr">
        <is>
          <t>MUNKEDAL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46209</v>
      </c>
      <c r="E262" s="1" t="n">
        <v>46324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46324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Kommuner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45293</v>
      </c>
      <c r="E264" s="1" t="n">
        <v>46324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46209</v>
      </c>
      <c r="E265" s="1" t="n">
        <v>46324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45418</v>
      </c>
      <c r="E266" s="1" t="n">
        <v>46324</v>
      </c>
      <c r="F266" t="inlineStr">
        <is>
          <t>VÄSTRA GÖTALANDS LÄN</t>
        </is>
      </c>
      <c r="G266" t="inlineStr">
        <is>
          <t>MUNKEDAL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21125-2022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44704</v>
      </c>
      <c r="E267" s="1" t="n">
        <v>46324</v>
      </c>
      <c r="F267" t="inlineStr">
        <is>
          <t>VÄSTRA GÖTALANDS LÄN</t>
        </is>
      </c>
      <c r="G267" t="inlineStr">
        <is>
          <t>MUNKEDAL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46324</v>
      </c>
      <c r="F268" t="inlineStr">
        <is>
          <t>VÄSTRA GÖTALANDS LÄN</t>
        </is>
      </c>
      <c r="G268" t="inlineStr">
        <is>
          <t>MUNKEDAL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46209</v>
      </c>
      <c r="E269" s="1" t="n">
        <v>46324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45489</v>
      </c>
      <c r="E270" s="1" t="n">
        <v>46324</v>
      </c>
      <c r="F270" t="inlineStr">
        <is>
          <t>VÄSTRA GÖTALANDS LÄN</t>
        </is>
      </c>
      <c r="G270" t="inlineStr">
        <is>
          <t>MUNKEDAL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46324</v>
      </c>
      <c r="F271" t="inlineStr">
        <is>
          <t>VÄSTRA GÖTALANDS LÄN</t>
        </is>
      </c>
      <c r="G271" t="inlineStr">
        <is>
          <t>MUNKEDAL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46324</v>
      </c>
      <c r="F272" t="inlineStr">
        <is>
          <t>VÄSTRA GÖTALANDS LÄN</t>
        </is>
      </c>
      <c r="G272" t="inlineStr">
        <is>
          <t>MUNKEDAL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46324</v>
      </c>
      <c r="F273" t="inlineStr">
        <is>
          <t>VÄSTRA GÖTALANDS LÄN</t>
        </is>
      </c>
      <c r="G273" t="inlineStr">
        <is>
          <t>MUNKEDAL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46324</v>
      </c>
      <c r="F274" t="inlineStr">
        <is>
          <t>VÄSTRA GÖTALANDS LÄN</t>
        </is>
      </c>
      <c r="G274" t="inlineStr">
        <is>
          <t>MUNKEDAL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46324</v>
      </c>
      <c r="F275" t="inlineStr">
        <is>
          <t>VÄSTRA GÖTALANDS LÄN</t>
        </is>
      </c>
      <c r="G275" t="inlineStr">
        <is>
          <t>MUNKEDAL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44760</v>
      </c>
      <c r="E276" s="1" t="n">
        <v>46324</v>
      </c>
      <c r="F276" t="inlineStr">
        <is>
          <t>VÄSTRA GÖTALANDS LÄN</t>
        </is>
      </c>
      <c r="G276" t="inlineStr">
        <is>
          <t>MUNKEDAL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45777</v>
      </c>
      <c r="E277" s="1" t="n">
        <v>46324</v>
      </c>
      <c r="F277" t="inlineStr">
        <is>
          <t>VÄSTRA GÖTALANDS LÄN</t>
        </is>
      </c>
      <c r="G277" t="inlineStr">
        <is>
          <t>MUNKEDAL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46324</v>
      </c>
      <c r="F278" t="inlineStr">
        <is>
          <t>VÄSTRA GÖTALANDS LÄN</t>
        </is>
      </c>
      <c r="G278" t="inlineStr">
        <is>
          <t>MUNKEDAL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11425-2022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44630</v>
      </c>
      <c r="E279" s="1" t="n">
        <v>46324</v>
      </c>
      <c r="F279" t="inlineStr">
        <is>
          <t>VÄSTRA GÖTALANDS LÄN</t>
        </is>
      </c>
      <c r="G279" t="inlineStr">
        <is>
          <t>MUNKEDAL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46324</v>
      </c>
      <c r="F280" t="inlineStr">
        <is>
          <t>VÄSTRA GÖTALANDS LÄN</t>
        </is>
      </c>
      <c r="G280" t="inlineStr">
        <is>
          <t>MUNKEDAL</t>
        </is>
      </c>
      <c r="I280" t="n">
        <v>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46324</v>
      </c>
      <c r="F281" t="inlineStr">
        <is>
          <t>VÄSTRA GÖTALANDS LÄN</t>
        </is>
      </c>
      <c r="G281" t="inlineStr">
        <is>
          <t>MUNKEDAL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45778</v>
      </c>
      <c r="E282" s="1" t="n">
        <v>46324</v>
      </c>
      <c r="F282" t="inlineStr">
        <is>
          <t>VÄSTRA GÖTALANDS LÄN</t>
        </is>
      </c>
      <c r="G282" t="inlineStr">
        <is>
          <t>MUNKEDAL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46324</v>
      </c>
      <c r="F283" t="inlineStr">
        <is>
          <t>VÄSTRA GÖTALANDS LÄN</t>
        </is>
      </c>
      <c r="G283" t="inlineStr">
        <is>
          <t>MUNKEDAL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46324</v>
      </c>
      <c r="F284" t="inlineStr">
        <is>
          <t>VÄSTRA GÖTALANDS LÄN</t>
        </is>
      </c>
      <c r="G284" t="inlineStr">
        <is>
          <t>MUNKEDAL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46324</v>
      </c>
      <c r="F285" t="inlineStr">
        <is>
          <t>VÄSTRA GÖTALANDS LÄN</t>
        </is>
      </c>
      <c r="G285" t="inlineStr">
        <is>
          <t>MUNKEDAL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46324</v>
      </c>
      <c r="F286" t="inlineStr">
        <is>
          <t>VÄSTRA GÖTALANDS LÄN</t>
        </is>
      </c>
      <c r="G286" t="inlineStr">
        <is>
          <t>MUNKEDAL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46217</v>
      </c>
      <c r="E287" s="1" t="n">
        <v>46324</v>
      </c>
      <c r="F287" t="inlineStr">
        <is>
          <t>VÄSTRA GÖTALANDS LÄN</t>
        </is>
      </c>
      <c r="G287" t="inlineStr">
        <is>
          <t>MUNKEDAL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46324</v>
      </c>
      <c r="F288" t="inlineStr">
        <is>
          <t>VÄSTRA GÖTALANDS LÄN</t>
        </is>
      </c>
      <c r="G288" t="inlineStr">
        <is>
          <t>MUNKEDAL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46217</v>
      </c>
      <c r="E289" s="1" t="n">
        <v>46324</v>
      </c>
      <c r="F289" t="inlineStr">
        <is>
          <t>VÄSTRA GÖTALANDS LÄN</t>
        </is>
      </c>
      <c r="G289" t="inlineStr">
        <is>
          <t>MUNKEDAL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46324</v>
      </c>
      <c r="F290" t="inlineStr">
        <is>
          <t>VÄSTRA GÖTALANDS LÄN</t>
        </is>
      </c>
      <c r="G290" t="inlineStr">
        <is>
          <t>MUNKEDAL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45784</v>
      </c>
      <c r="E291" s="1" t="n">
        <v>46324</v>
      </c>
      <c r="F291" t="inlineStr">
        <is>
          <t>VÄSTRA GÖTALANDS LÄN</t>
        </is>
      </c>
      <c r="G291" t="inlineStr">
        <is>
          <t>MUNKEDAL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45784</v>
      </c>
      <c r="E292" s="1" t="n">
        <v>46324</v>
      </c>
      <c r="F292" t="inlineStr">
        <is>
          <t>VÄSTRA GÖTALANDS LÄN</t>
        </is>
      </c>
      <c r="G292" t="inlineStr">
        <is>
          <t>MUNKEDAL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44672</v>
      </c>
      <c r="E293" s="1" t="n">
        <v>46324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46324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46324</v>
      </c>
      <c r="F295" t="inlineStr">
        <is>
          <t>VÄSTRA GÖTALANDS LÄN</t>
        </is>
      </c>
      <c r="G295" t="inlineStr">
        <is>
          <t>MUNKEDAL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45721</v>
      </c>
      <c r="E296" s="1" t="n">
        <v>46324</v>
      </c>
      <c r="F296" t="inlineStr">
        <is>
          <t>VÄSTRA GÖTALANDS LÄN</t>
        </is>
      </c>
      <c r="G296" t="inlineStr">
        <is>
          <t>MUNKEDAL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46324</v>
      </c>
      <c r="F297" t="inlineStr">
        <is>
          <t>VÄSTRA GÖTALANDS LÄN</t>
        </is>
      </c>
      <c r="G297" t="inlineStr">
        <is>
          <t>MUNKEDAL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46324</v>
      </c>
      <c r="F298" t="inlineStr">
        <is>
          <t>VÄSTRA GÖTALANDS LÄN</t>
        </is>
      </c>
      <c r="G298" t="inlineStr">
        <is>
          <t>MUNKEDAL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46324</v>
      </c>
      <c r="F299" t="inlineStr">
        <is>
          <t>VÄSTRA GÖTALANDS LÄN</t>
        </is>
      </c>
      <c r="G299" t="inlineStr">
        <is>
          <t>MUNKEDAL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16650-2024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45408</v>
      </c>
      <c r="E300" s="1" t="n">
        <v>46324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46324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26.5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46324</v>
      </c>
      <c r="F302" t="inlineStr">
        <is>
          <t>VÄSTRA GÖTALANDS LÄN</t>
        </is>
      </c>
      <c r="G302" t="inlineStr">
        <is>
          <t>MUNKEDAL</t>
        </is>
      </c>
      <c r="I302" t="n">
        <v>12.7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46324</v>
      </c>
      <c r="F303" t="inlineStr">
        <is>
          <t>VÄSTRA GÖTALANDS LÄN</t>
        </is>
      </c>
      <c r="G303" t="inlineStr">
        <is>
          <t>MUNKEDAL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45111</v>
      </c>
      <c r="E304" s="1" t="n">
        <v>46324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Naturvårdsverket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46324</v>
      </c>
      <c r="F305" t="inlineStr">
        <is>
          <t>VÄSTRA GÖTALANDS LÄN</t>
        </is>
      </c>
      <c r="G305" t="inlineStr">
        <is>
          <t>MUNKEDAL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46324</v>
      </c>
      <c r="F306" t="inlineStr">
        <is>
          <t>VÄSTRA GÖTALANDS LÄN</t>
        </is>
      </c>
      <c r="G306" t="inlineStr">
        <is>
          <t>MUNKEDAL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46239</v>
      </c>
      <c r="E307" s="1" t="n">
        <v>46324</v>
      </c>
      <c r="F307" t="inlineStr">
        <is>
          <t>VÄSTRA GÖTALANDS LÄN</t>
        </is>
      </c>
      <c r="G307" t="inlineStr">
        <is>
          <t>MUNKEDAL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45388</v>
      </c>
      <c r="E308" s="1" t="n">
        <v>46324</v>
      </c>
      <c r="F308" t="inlineStr">
        <is>
          <t>VÄSTRA GÖTALANDS LÄN</t>
        </is>
      </c>
      <c r="G308" t="inlineStr">
        <is>
          <t>MUNKEDAL</t>
        </is>
      </c>
      <c r="I308" t="n">
        <v>9.6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46324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44935</v>
      </c>
      <c r="E310" s="1" t="n">
        <v>46324</v>
      </c>
      <c r="F310" t="inlineStr">
        <is>
          <t>VÄSTRA GÖTALANDS LÄN</t>
        </is>
      </c>
      <c r="G310" t="inlineStr">
        <is>
          <t>MUNKEDAL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46324</v>
      </c>
      <c r="F311" t="inlineStr">
        <is>
          <t>VÄSTRA GÖTALANDS LÄN</t>
        </is>
      </c>
      <c r="G311" t="inlineStr">
        <is>
          <t>MUNKEDAL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38851-2026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46286</v>
      </c>
      <c r="E312" s="1" t="n">
        <v>46324</v>
      </c>
      <c r="F312" t="inlineStr">
        <is>
          <t>VÄSTRA GÖTALANDS LÄN</t>
        </is>
      </c>
      <c r="G312" t="inlineStr">
        <is>
          <t>MUNKEDAL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44984</v>
      </c>
      <c r="E313" s="1" t="n">
        <v>46324</v>
      </c>
      <c r="F313" t="inlineStr">
        <is>
          <t>VÄSTRA GÖTALANDS LÄN</t>
        </is>
      </c>
      <c r="G313" t="inlineStr">
        <is>
          <t>MUNKEDAL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46324</v>
      </c>
      <c r="F314" t="inlineStr">
        <is>
          <t>VÄSTRA GÖTALANDS LÄN</t>
        </is>
      </c>
      <c r="G314" t="inlineStr">
        <is>
          <t>MUNKEDAL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54866-2024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45618</v>
      </c>
      <c r="E315" s="1" t="n">
        <v>46324</v>
      </c>
      <c r="F315" t="inlineStr">
        <is>
          <t>VÄSTRA GÖTALANDS LÄN</t>
        </is>
      </c>
      <c r="G315" t="inlineStr">
        <is>
          <t>MUNKEDAL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46244</v>
      </c>
      <c r="E316" s="1" t="n">
        <v>46324</v>
      </c>
      <c r="F316" t="inlineStr">
        <is>
          <t>VÄSTRA GÖTALANDS LÄN</t>
        </is>
      </c>
      <c r="G316" t="inlineStr">
        <is>
          <t>MUNKEDAL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37327-2022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44806</v>
      </c>
      <c r="E317" s="1" t="n">
        <v>46324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25.2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46286</v>
      </c>
      <c r="E318" s="1" t="n">
        <v>46324</v>
      </c>
      <c r="F318" t="inlineStr">
        <is>
          <t>VÄSTRA GÖTALANDS LÄN</t>
        </is>
      </c>
      <c r="G318" t="inlineStr">
        <is>
          <t>MUNKEDAL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46324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45317</v>
      </c>
      <c r="E320" s="1" t="n">
        <v>46324</v>
      </c>
      <c r="F320" t="inlineStr">
        <is>
          <t>VÄSTRA GÖTALANDS LÄN</t>
        </is>
      </c>
      <c r="G320" t="inlineStr">
        <is>
          <t>MUNKEDAL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46324</v>
      </c>
      <c r="F321" t="inlineStr">
        <is>
          <t>VÄSTRA GÖTALANDS LÄN</t>
        </is>
      </c>
      <c r="G321" t="inlineStr">
        <is>
          <t>MUNKEDAL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45355</v>
      </c>
      <c r="E322" s="1" t="n">
        <v>46324</v>
      </c>
      <c r="F322" t="inlineStr">
        <is>
          <t>VÄSTRA GÖTALANDS LÄN</t>
        </is>
      </c>
      <c r="G322" t="inlineStr">
        <is>
          <t>MUNKEDAL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46324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46324</v>
      </c>
      <c r="F324" t="inlineStr">
        <is>
          <t>VÄSTRA GÖTALANDS LÄN</t>
        </is>
      </c>
      <c r="G324" t="inlineStr">
        <is>
          <t>MUNKEDAL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45072</v>
      </c>
      <c r="E325" s="1" t="n">
        <v>46324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Kommuner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44946</v>
      </c>
      <c r="E326" s="1" t="n">
        <v>46324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46247</v>
      </c>
      <c r="E327" s="1" t="n">
        <v>46324</v>
      </c>
      <c r="F327" t="inlineStr">
        <is>
          <t>VÄSTRA GÖTALANDS LÄN</t>
        </is>
      </c>
      <c r="G327" t="inlineStr">
        <is>
          <t>MUNKEDAL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46324</v>
      </c>
      <c r="F328" t="inlineStr">
        <is>
          <t>VÄSTRA GÖTALANDS LÄN</t>
        </is>
      </c>
      <c r="G328" t="inlineStr">
        <is>
          <t>MUNKEDAL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23610-2023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45072</v>
      </c>
      <c r="E329" s="1" t="n">
        <v>46324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Kommuner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7554-2024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45348</v>
      </c>
      <c r="E330" s="1" t="n">
        <v>46324</v>
      </c>
      <c r="F330" t="inlineStr">
        <is>
          <t>VÄSTRA GÖTALANDS LÄN</t>
        </is>
      </c>
      <c r="G330" t="inlineStr">
        <is>
          <t>MUNKEDAL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46418-2024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45582</v>
      </c>
      <c r="E331" s="1" t="n">
        <v>46324</v>
      </c>
      <c r="F331" t="inlineStr">
        <is>
          <t>VÄSTRA GÖTALANDS LÄN</t>
        </is>
      </c>
      <c r="G331" t="inlineStr">
        <is>
          <t>MUNKEDAL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46247</v>
      </c>
      <c r="E332" s="1" t="n">
        <v>46324</v>
      </c>
      <c r="F332" t="inlineStr">
        <is>
          <t>VÄSTRA GÖTALANDS LÄN</t>
        </is>
      </c>
      <c r="G332" t="inlineStr">
        <is>
          <t>MUNKEDAL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44698</v>
      </c>
      <c r="E333" s="1" t="n">
        <v>46324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34288-2026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46253</v>
      </c>
      <c r="E334" s="1" t="n">
        <v>46324</v>
      </c>
      <c r="F334" t="inlineStr">
        <is>
          <t>VÄSTRA GÖTALANDS LÄN</t>
        </is>
      </c>
      <c r="G334" t="inlineStr">
        <is>
          <t>MUNKEDAL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46295</v>
      </c>
      <c r="E335" s="1" t="n">
        <v>46324</v>
      </c>
      <c r="F335" t="inlineStr">
        <is>
          <t>VÄSTRA GÖTALANDS LÄN</t>
        </is>
      </c>
      <c r="G335" t="inlineStr">
        <is>
          <t>MUNKEDAL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46294</v>
      </c>
      <c r="E336" s="1" t="n">
        <v>46324</v>
      </c>
      <c r="F336" t="inlineStr">
        <is>
          <t>VÄSTRA GÖTALANDS LÄN</t>
        </is>
      </c>
      <c r="G336" t="inlineStr">
        <is>
          <t>MUNKEDAL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59150-2022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46324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Kyrkan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46254</v>
      </c>
      <c r="E338" s="1" t="n">
        <v>46324</v>
      </c>
      <c r="F338" t="inlineStr">
        <is>
          <t>VÄSTRA GÖTALANDS LÄN</t>
        </is>
      </c>
      <c r="G338" t="inlineStr">
        <is>
          <t>MUNKEDAL</t>
        </is>
      </c>
      <c r="I338" t="n">
        <v>11.6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46324</v>
      </c>
      <c r="F339" t="inlineStr">
        <is>
          <t>VÄSTRA GÖTALANDS LÄN</t>
        </is>
      </c>
      <c r="G339" t="inlineStr">
        <is>
          <t>MUNKEDAL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46324</v>
      </c>
      <c r="F340" t="inlineStr">
        <is>
          <t>VÄSTRA GÖTALANDS LÄN</t>
        </is>
      </c>
      <c r="G340" t="inlineStr">
        <is>
          <t>MUNKEDAL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46324</v>
      </c>
      <c r="F341" t="inlineStr">
        <is>
          <t>VÄSTRA GÖTALANDS LÄN</t>
        </is>
      </c>
      <c r="G341" t="inlineStr">
        <is>
          <t>MUNKEDAL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46324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46324</v>
      </c>
      <c r="F343" t="inlineStr">
        <is>
          <t>VÄSTRA GÖTALANDS LÄN</t>
        </is>
      </c>
      <c r="G343" t="inlineStr">
        <is>
          <t>MUNKEDAL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46294</v>
      </c>
      <c r="E344" s="1" t="n">
        <v>46324</v>
      </c>
      <c r="F344" t="inlineStr">
        <is>
          <t>VÄSTRA GÖTALANDS LÄN</t>
        </is>
      </c>
      <c r="G344" t="inlineStr">
        <is>
          <t>MUNKEDAL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45306</v>
      </c>
      <c r="E345" s="1" t="n">
        <v>46324</v>
      </c>
      <c r="F345" t="inlineStr">
        <is>
          <t>VÄSTRA GÖTALANDS LÄN</t>
        </is>
      </c>
      <c r="G345" t="inlineStr">
        <is>
          <t>MUNKEDAL</t>
        </is>
      </c>
      <c r="I345" t="n">
        <v>25.2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44993</v>
      </c>
      <c r="E346" s="1" t="n">
        <v>46324</v>
      </c>
      <c r="F346" t="inlineStr">
        <is>
          <t>VÄSTRA GÖTALANDS LÄN</t>
        </is>
      </c>
      <c r="G346" t="inlineStr">
        <is>
          <t>MUNKEDAL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46324</v>
      </c>
      <c r="F347" t="inlineStr">
        <is>
          <t>VÄSTRA GÖTALANDS LÄN</t>
        </is>
      </c>
      <c r="G347" t="inlineStr">
        <is>
          <t>MUNKEDAL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46253</v>
      </c>
      <c r="E348" s="1" t="n">
        <v>46324</v>
      </c>
      <c r="F348" t="inlineStr">
        <is>
          <t>VÄSTRA GÖTALANDS LÄN</t>
        </is>
      </c>
      <c r="G348" t="inlineStr">
        <is>
          <t>MUNKEDAL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46294</v>
      </c>
      <c r="E349" s="1" t="n">
        <v>46324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46324</v>
      </c>
      <c r="F350" t="inlineStr">
        <is>
          <t>VÄSTRA GÖTALANDS LÄN</t>
        </is>
      </c>
      <c r="G350" t="inlineStr">
        <is>
          <t>MUNKEDAL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44937</v>
      </c>
      <c r="E351" s="1" t="n">
        <v>46324</v>
      </c>
      <c r="F351" t="inlineStr">
        <is>
          <t>VÄSTRA GÖTALANDS LÄN</t>
        </is>
      </c>
      <c r="G351" t="inlineStr">
        <is>
          <t>MUNKEDAL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46324</v>
      </c>
      <c r="F352" t="inlineStr">
        <is>
          <t>VÄSTRA GÖTALANDS LÄN</t>
        </is>
      </c>
      <c r="G352" t="inlineStr">
        <is>
          <t>MUNKEDAL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45233</v>
      </c>
      <c r="E353" s="1" t="n">
        <v>46324</v>
      </c>
      <c r="F353" t="inlineStr">
        <is>
          <t>VÄSTRA GÖTALANDS LÄN</t>
        </is>
      </c>
      <c r="G353" t="inlineStr">
        <is>
          <t>MUNKEDAL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41262-2026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46297</v>
      </c>
      <c r="E354" s="1" t="n">
        <v>46324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45619</v>
      </c>
      <c r="E355" s="1" t="n">
        <v>46324</v>
      </c>
      <c r="F355" t="inlineStr">
        <is>
          <t>VÄSTRA GÖTALANDS LÄN</t>
        </is>
      </c>
      <c r="G355" t="inlineStr">
        <is>
          <t>MUNKEDAL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45631</v>
      </c>
      <c r="E356" s="1" t="n">
        <v>46324</v>
      </c>
      <c r="F356" t="inlineStr">
        <is>
          <t>VÄSTRA GÖTALANDS LÄN</t>
        </is>
      </c>
      <c r="G356" t="inlineStr">
        <is>
          <t>MUNKEDAL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41943-2026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46324</v>
      </c>
      <c r="F357" t="inlineStr">
        <is>
          <t>VÄSTRA GÖTALANDS LÄN</t>
        </is>
      </c>
      <c r="G357" t="inlineStr">
        <is>
          <t>MUNKEDAL</t>
        </is>
      </c>
      <c r="I357" t="n">
        <v>9.5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46303</v>
      </c>
      <c r="E358" s="1" t="n">
        <v>46324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46303</v>
      </c>
      <c r="E359" s="1" t="n">
        <v>46324</v>
      </c>
      <c r="F359" t="inlineStr">
        <is>
          <t>VÄSTRA GÖTALANDS LÄN</t>
        </is>
      </c>
      <c r="G359" t="inlineStr">
        <is>
          <t>MUNKEDAL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46302</v>
      </c>
      <c r="E360" s="1" t="n">
        <v>46324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46324</v>
      </c>
      <c r="F361" t="inlineStr">
        <is>
          <t>VÄSTRA GÖTALANDS LÄN</t>
        </is>
      </c>
      <c r="G361" t="inlineStr">
        <is>
          <t>MUNKEDAL</t>
        </is>
      </c>
      <c r="I361" t="n">
        <v>14.1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45293</v>
      </c>
      <c r="E362" s="1" t="n">
        <v>46324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45063</v>
      </c>
      <c r="E363" s="1" t="n">
        <v>46324</v>
      </c>
      <c r="F363" t="inlineStr">
        <is>
          <t>VÄSTRA GÖTALANDS LÄN</t>
        </is>
      </c>
      <c r="G363" t="inlineStr">
        <is>
          <t>MUNKEDAL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46324</v>
      </c>
      <c r="F364" t="inlineStr">
        <is>
          <t>VÄSTRA GÖTALANDS LÄN</t>
        </is>
      </c>
      <c r="G364" t="inlineStr">
        <is>
          <t>MUNKEDAL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46324</v>
      </c>
      <c r="F365" t="inlineStr">
        <is>
          <t>VÄSTRA GÖTALANDS LÄN</t>
        </is>
      </c>
      <c r="G365" t="inlineStr">
        <is>
          <t>MUNKEDAL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22857-2022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44715</v>
      </c>
      <c r="E366" s="1" t="n">
        <v>46324</v>
      </c>
      <c r="F366" t="inlineStr">
        <is>
          <t>VÄSTRA GÖTALANDS LÄN</t>
        </is>
      </c>
      <c r="G366" t="inlineStr">
        <is>
          <t>MUNKEDAL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46324</v>
      </c>
      <c r="F367" t="inlineStr">
        <is>
          <t>VÄSTRA GÖTALANDS LÄN</t>
        </is>
      </c>
      <c r="G367" t="inlineStr">
        <is>
          <t>MUNKEDAL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46308</v>
      </c>
      <c r="E368" s="1" t="n">
        <v>46324</v>
      </c>
      <c r="F368" t="inlineStr">
        <is>
          <t>VÄSTRA GÖTALANDS LÄN</t>
        </is>
      </c>
      <c r="G368" t="inlineStr">
        <is>
          <t>MUNKEDAL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46308</v>
      </c>
      <c r="E369" s="1" t="n">
        <v>46324</v>
      </c>
      <c r="F369" t="inlineStr">
        <is>
          <t>VÄSTRA GÖTALANDS LÄN</t>
        </is>
      </c>
      <c r="G369" t="inlineStr">
        <is>
          <t>MUNKEDAL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50038-2023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45215</v>
      </c>
      <c r="E370" s="1" t="n">
        <v>46324</v>
      </c>
      <c r="F370" t="inlineStr">
        <is>
          <t>VÄSTRA GÖTALANDS LÄN</t>
        </is>
      </c>
      <c r="G370" t="inlineStr">
        <is>
          <t>MUNKEDAL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59257-2024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46324</v>
      </c>
      <c r="F371" t="inlineStr">
        <is>
          <t>VÄSTRA GÖTALANDS LÄN</t>
        </is>
      </c>
      <c r="G371" t="inlineStr">
        <is>
          <t>MUNKEDAL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43129-2026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46311</v>
      </c>
      <c r="E372" s="1" t="n">
        <v>46324</v>
      </c>
      <c r="F372" t="inlineStr">
        <is>
          <t>VÄSTRA GÖTALANDS LÄN</t>
        </is>
      </c>
      <c r="G372" t="inlineStr">
        <is>
          <t>MUNKEDAL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36113-2026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46267</v>
      </c>
      <c r="E373" s="1" t="n">
        <v>46324</v>
      </c>
      <c r="F373" t="inlineStr">
        <is>
          <t>VÄSTRA GÖTALANDS LÄN</t>
        </is>
      </c>
      <c r="G373" t="inlineStr">
        <is>
          <t>MUNKEDAL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46324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46324</v>
      </c>
      <c r="F375" t="inlineStr">
        <is>
          <t>VÄSTRA GÖTALANDS LÄN</t>
        </is>
      </c>
      <c r="G375" t="inlineStr">
        <is>
          <t>MUNKEDAL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49912-2023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45214</v>
      </c>
      <c r="E376" s="1" t="n">
        <v>46324</v>
      </c>
      <c r="F376" t="inlineStr">
        <is>
          <t>VÄSTRA GÖTALANDS LÄN</t>
        </is>
      </c>
      <c r="G376" t="inlineStr">
        <is>
          <t>MUNKEDAL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46272</v>
      </c>
      <c r="E377" s="1" t="n">
        <v>46324</v>
      </c>
      <c r="F377" t="inlineStr">
        <is>
          <t>VÄSTRA GÖTALANDS LÄN</t>
        </is>
      </c>
      <c r="G377" t="inlineStr">
        <is>
          <t>MUNKEDAL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45165-2024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45575</v>
      </c>
      <c r="E378" s="1" t="n">
        <v>46324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Naturvårdsverket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45488</v>
      </c>
      <c r="E379" s="1" t="n">
        <v>46324</v>
      </c>
      <c r="F379" t="inlineStr">
        <is>
          <t>VÄSTRA GÖTALANDS LÄN</t>
        </is>
      </c>
      <c r="G379" t="inlineStr">
        <is>
          <t>MUNKEDAL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54001-2023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45231</v>
      </c>
      <c r="E380" s="1" t="n">
        <v>46324</v>
      </c>
      <c r="F380" t="inlineStr">
        <is>
          <t>VÄSTRA GÖTALANDS LÄN</t>
        </is>
      </c>
      <c r="G380" t="inlineStr">
        <is>
          <t>MUNKEDAL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44748</v>
      </c>
      <c r="E381" s="1" t="n">
        <v>46324</v>
      </c>
      <c r="F381" t="inlineStr">
        <is>
          <t>VÄSTRA GÖTALANDS LÄN</t>
        </is>
      </c>
      <c r="G381" t="inlineStr">
        <is>
          <t>MUNKEDAL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45761</v>
      </c>
      <c r="E382" s="1" t="n">
        <v>46324</v>
      </c>
      <c r="F382" t="inlineStr">
        <is>
          <t>VÄSTRA GÖTALANDS LÄN</t>
        </is>
      </c>
      <c r="G382" t="inlineStr">
        <is>
          <t>MUNKEDAL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46274</v>
      </c>
      <c r="E383" s="1" t="n">
        <v>46324</v>
      </c>
      <c r="F383" t="inlineStr">
        <is>
          <t>VÄSTRA GÖTALANDS LÄN</t>
        </is>
      </c>
      <c r="G383" t="inlineStr">
        <is>
          <t>MUNKEDAL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9720-2024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45362</v>
      </c>
      <c r="E384" s="1" t="n">
        <v>46324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46274</v>
      </c>
      <c r="E385" s="1" t="n">
        <v>46324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44774</v>
      </c>
      <c r="E386" s="1" t="n">
        <v>46324</v>
      </c>
      <c r="F386" t="inlineStr">
        <is>
          <t>VÄSTRA GÖTALANDS LÄN</t>
        </is>
      </c>
      <c r="G386" t="inlineStr">
        <is>
          <t>MUNKEDAL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46273</v>
      </c>
      <c r="E387" s="1" t="n">
        <v>46324</v>
      </c>
      <c r="F387" t="inlineStr">
        <is>
          <t>VÄSTRA GÖTALANDS LÄN</t>
        </is>
      </c>
      <c r="G387" t="inlineStr">
        <is>
          <t>MUNKEDAL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44920</v>
      </c>
      <c r="E388" s="1" t="n">
        <v>46324</v>
      </c>
      <c r="F388" t="inlineStr">
        <is>
          <t>VÄSTRA GÖTALANDS LÄN</t>
        </is>
      </c>
      <c r="G388" t="inlineStr">
        <is>
          <t>MUNKEDAL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62101-2022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44920</v>
      </c>
      <c r="E389" s="1" t="n">
        <v>46324</v>
      </c>
      <c r="F389" t="inlineStr">
        <is>
          <t>VÄSTRA GÖTALANDS LÄN</t>
        </is>
      </c>
      <c r="G389" t="inlineStr">
        <is>
          <t>MUNKEDAL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44984</v>
      </c>
      <c r="E390" s="1" t="n">
        <v>46324</v>
      </c>
      <c r="F390" t="inlineStr">
        <is>
          <t>VÄSTRA GÖTALANDS LÄN</t>
        </is>
      </c>
      <c r="G390" t="inlineStr">
        <is>
          <t>MUNKEDAL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13162-2023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45002</v>
      </c>
      <c r="E391" s="1" t="n">
        <v>46324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44478-2023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45189</v>
      </c>
      <c r="E392" s="1" t="n">
        <v>46324</v>
      </c>
      <c r="F392" t="inlineStr">
        <is>
          <t>VÄSTRA GÖTALANDS LÄN</t>
        </is>
      </c>
      <c r="G392" t="inlineStr">
        <is>
          <t>MUNKEDAL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45296</v>
      </c>
      <c r="E393" s="1" t="n">
        <v>46324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51409-2022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44866</v>
      </c>
      <c r="E394" s="1" t="n">
        <v>46324</v>
      </c>
      <c r="F394" t="inlineStr">
        <is>
          <t>VÄSTRA GÖTALANDS LÄN</t>
        </is>
      </c>
      <c r="G394" t="inlineStr">
        <is>
          <t>MUNKEDAL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44606</v>
      </c>
      <c r="E395" s="1" t="n">
        <v>46324</v>
      </c>
      <c r="F395" t="inlineStr">
        <is>
          <t>VÄSTRA GÖTALANDS LÄN</t>
        </is>
      </c>
      <c r="G395" t="inlineStr">
        <is>
          <t>MUNKEDAL</t>
        </is>
      </c>
      <c r="I395" t="n">
        <v>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13303-2023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45005</v>
      </c>
      <c r="E396" s="1" t="n">
        <v>46324</v>
      </c>
      <c r="F396" t="inlineStr">
        <is>
          <t>VÄSTRA GÖTALANDS LÄN</t>
        </is>
      </c>
      <c r="G396" t="inlineStr">
        <is>
          <t>MUNKEDAL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46321</v>
      </c>
      <c r="E397" s="1" t="n">
        <v>46324</v>
      </c>
      <c r="F397" t="inlineStr">
        <is>
          <t>VÄSTRA GÖTALANDS LÄN</t>
        </is>
      </c>
      <c r="G397" t="inlineStr">
        <is>
          <t>MUNKEDAL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45560</v>
      </c>
      <c r="E398" s="1" t="n">
        <v>46324</v>
      </c>
      <c r="F398" t="inlineStr">
        <is>
          <t>VÄSTRA GÖTALANDS LÄN</t>
        </is>
      </c>
      <c r="G398" t="inlineStr">
        <is>
          <t>MUNKEDAL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59171-2022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44897</v>
      </c>
      <c r="E399" s="1" t="n">
        <v>46324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Kyrkan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45640</v>
      </c>
      <c r="E400" s="1" t="n">
        <v>46324</v>
      </c>
      <c r="F400" t="inlineStr">
        <is>
          <t>VÄSTRA GÖTALANDS LÄN</t>
        </is>
      </c>
      <c r="G400" t="inlineStr">
        <is>
          <t>MUNKEDAL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46323</v>
      </c>
      <c r="E401" s="1" t="n">
        <v>46324</v>
      </c>
      <c r="F401" t="inlineStr">
        <is>
          <t>VÄSTRA GÖTALANDS LÄN</t>
        </is>
      </c>
      <c r="G401" t="inlineStr">
        <is>
          <t>MUNKEDAL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46324</v>
      </c>
      <c r="F402" t="inlineStr">
        <is>
          <t>VÄSTRA GÖTALANDS LÄN</t>
        </is>
      </c>
      <c r="G402" t="inlineStr">
        <is>
          <t>MUNKEDAL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12243-2024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45378</v>
      </c>
      <c r="E403" s="1" t="n">
        <v>46324</v>
      </c>
      <c r="F403" t="inlineStr">
        <is>
          <t>VÄSTRA GÖTALANDS LÄN</t>
        </is>
      </c>
      <c r="G403" t="inlineStr">
        <is>
          <t>MUNKEDAL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46440-2024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45582</v>
      </c>
      <c r="E404" s="1" t="n">
        <v>46324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45674</v>
      </c>
      <c r="E405" s="1" t="n">
        <v>46324</v>
      </c>
      <c r="F405" t="inlineStr">
        <is>
          <t>VÄSTRA GÖTALANDS LÄN</t>
        </is>
      </c>
      <c r="G405" t="inlineStr">
        <is>
          <t>MUNKEDAL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44958</v>
      </c>
      <c r="E406" s="1" t="n">
        <v>46324</v>
      </c>
      <c r="F406" t="inlineStr">
        <is>
          <t>VÄSTRA GÖTALANDS LÄN</t>
        </is>
      </c>
      <c r="G406" t="inlineStr">
        <is>
          <t>MUNKEDAL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45313</v>
      </c>
      <c r="E407" s="1" t="n">
        <v>46324</v>
      </c>
      <c r="F407" t="inlineStr">
        <is>
          <t>VÄSTRA GÖTALANDS LÄN</t>
        </is>
      </c>
      <c r="G407" t="inlineStr">
        <is>
          <t>MUNKEDAL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45175</v>
      </c>
      <c r="E408" s="1" t="n">
        <v>46324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60231-2024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45640</v>
      </c>
      <c r="E409" s="1" t="n">
        <v>46324</v>
      </c>
      <c r="F409" t="inlineStr">
        <is>
          <t>VÄSTRA GÖTALANDS LÄN</t>
        </is>
      </c>
      <c r="G409" t="inlineStr">
        <is>
          <t>MUNKEDAL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46321</v>
      </c>
      <c r="E410" s="1" t="n">
        <v>46324</v>
      </c>
      <c r="F410" t="inlineStr">
        <is>
          <t>VÄSTRA GÖTALANDS LÄN</t>
        </is>
      </c>
      <c r="G410" t="inlineStr">
        <is>
          <t>MUNKEDAL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44341-2026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46321</v>
      </c>
      <c r="E411" s="1" t="n">
        <v>46324</v>
      </c>
      <c r="F411" t="inlineStr">
        <is>
          <t>VÄSTRA GÖTALANDS LÄN</t>
        </is>
      </c>
      <c r="G411" t="inlineStr">
        <is>
          <t>MUNKEDAL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46324</v>
      </c>
      <c r="F412" t="inlineStr">
        <is>
          <t>VÄSTRA GÖTALANDS LÄN</t>
        </is>
      </c>
      <c r="G412" t="inlineStr">
        <is>
          <t>MUNKEDAL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45664</v>
      </c>
      <c r="E413" s="1" t="n">
        <v>46324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18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45296</v>
      </c>
      <c r="E414" s="1" t="n">
        <v>46324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Kyrkan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46324</v>
      </c>
      <c r="F415" t="inlineStr">
        <is>
          <t>VÄSTRA GÖTALANDS LÄN</t>
        </is>
      </c>
      <c r="G415" t="inlineStr">
        <is>
          <t>MUNKEDAL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2558-2022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44697</v>
      </c>
      <c r="E416" s="1" t="n">
        <v>46324</v>
      </c>
      <c r="F416" t="inlineStr">
        <is>
          <t>VÄSTRA GÖTALANDS LÄN</t>
        </is>
      </c>
      <c r="G416" t="inlineStr">
        <is>
          <t>MUNKEDAL</t>
        </is>
      </c>
      <c r="H416" t="inlineStr">
        <is>
          <t>Övriga Aktiebolag</t>
        </is>
      </c>
      <c r="I416" t="n">
        <v>12.5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2428-2024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45469</v>
      </c>
      <c r="E417" s="1" t="n">
        <v>46324</v>
      </c>
      <c r="F417" t="inlineStr">
        <is>
          <t>VÄSTRA GÖTALANDS LÄN</t>
        </is>
      </c>
      <c r="G417" t="inlineStr">
        <is>
          <t>MUNKEDAL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4047-2023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45240</v>
      </c>
      <c r="E418" s="1" t="n">
        <v>46324</v>
      </c>
      <c r="F418" t="inlineStr">
        <is>
          <t>VÄSTRA GÖTALANDS LÄN</t>
        </is>
      </c>
      <c r="G418" t="inlineStr">
        <is>
          <t>MUNKEDAL</t>
        </is>
      </c>
      <c r="I418" t="n">
        <v>17.1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1070-2025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45749</v>
      </c>
      <c r="E419" s="1" t="n">
        <v>46324</v>
      </c>
      <c r="F419" t="inlineStr">
        <is>
          <t>VÄSTRA GÖTALANDS LÄN</t>
        </is>
      </c>
      <c r="G419" t="inlineStr">
        <is>
          <t>MUNKEDAL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1617-2025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45799</v>
      </c>
      <c r="E420" s="1" t="n">
        <v>46324</v>
      </c>
      <c r="F420" t="inlineStr">
        <is>
          <t>VÄSTRA GÖTALANDS LÄN</t>
        </is>
      </c>
      <c r="G420" t="inlineStr">
        <is>
          <t>MUNKEDAL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2026-10-29T03:13:09Z</dcterms:created>
  <dcterms:modified xmlns:dcterms="http://purl.org/dc/terms/" xmlns:xsi="http://www.w3.org/2001/XMLSchema-instance" xsi:type="dcterms:W3CDTF">2026-10-29T03:13:09Z</dcterms:modified>
</cp:coreProperties>
</file>