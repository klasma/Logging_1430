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45668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45668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45668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45668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45668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45668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45668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45668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45668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45668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45668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45668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45668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45668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45668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45668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39812-2022</t>
        </is>
      </c>
      <c r="B18" s="1" t="n">
        <v>44817</v>
      </c>
      <c r="C18" s="1" t="n">
        <v>45668</v>
      </c>
      <c r="D18" t="inlineStr">
        <is>
          <t>VÄSTRA GÖTALANDS LÄN</t>
        </is>
      </c>
      <c r="E18" t="inlineStr">
        <is>
          <t>MUNKEDAL</t>
        </is>
      </c>
      <c r="G18" t="n">
        <v>5.2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39812-2022 artfynd.xlsx", "A 39812-2022")</f>
        <v/>
      </c>
      <c r="T18">
        <f>HYPERLINK("https://klasma.github.io/Logging_1430/kartor/A 39812-2022 karta.png", "A 39812-2022")</f>
        <v/>
      </c>
      <c r="V18">
        <f>HYPERLINK("https://klasma.github.io/Logging_1430/klagomål/A 39812-2022 FSC-klagomål.docx", "A 39812-2022")</f>
        <v/>
      </c>
      <c r="W18">
        <f>HYPERLINK("https://klasma.github.io/Logging_1430/klagomålsmail/A 39812-2022 FSC-klagomål mail.docx", "A 39812-2022")</f>
        <v/>
      </c>
      <c r="X18">
        <f>HYPERLINK("https://klasma.github.io/Logging_1430/tillsyn/A 39812-2022 tillsynsbegäran.docx", "A 39812-2022")</f>
        <v/>
      </c>
      <c r="Y18">
        <f>HYPERLINK("https://klasma.github.io/Logging_1430/tillsynsmail/A 39812-2022 tillsynsbegäran mail.docx", "A 39812-2022")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45668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36898-2023</t>
        </is>
      </c>
      <c r="B20" s="1" t="n">
        <v>45154</v>
      </c>
      <c r="C20" s="1" t="n">
        <v>45668</v>
      </c>
      <c r="D20" t="inlineStr">
        <is>
          <t>VÄSTRA GÖTALANDS LÄN</t>
        </is>
      </c>
      <c r="E20" t="inlineStr">
        <is>
          <t>MUNKEDAL</t>
        </is>
      </c>
      <c r="G20" t="n">
        <v>34.3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36898-2023 artfynd.xlsx", "A 36898-2023")</f>
        <v/>
      </c>
      <c r="T20">
        <f>HYPERLINK("https://klasma.github.io/Logging_1430/kartor/A 36898-2023 karta.png", "A 36898-2023")</f>
        <v/>
      </c>
      <c r="V20">
        <f>HYPERLINK("https://klasma.github.io/Logging_1430/klagomål/A 36898-2023 FSC-klagomål.docx", "A 36898-2023")</f>
        <v/>
      </c>
      <c r="W20">
        <f>HYPERLINK("https://klasma.github.io/Logging_1430/klagomålsmail/A 36898-2023 FSC-klagomål mail.docx", "A 36898-2023")</f>
        <v/>
      </c>
      <c r="X20">
        <f>HYPERLINK("https://klasma.github.io/Logging_1430/tillsyn/A 36898-2023 tillsynsbegäran.docx", "A 36898-2023")</f>
        <v/>
      </c>
      <c r="Y20">
        <f>HYPERLINK("https://klasma.github.io/Logging_1430/tillsynsmail/A 36898-2023 tillsynsbegäran mail.docx", "A 36898-2023")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45668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2586-2024</t>
        </is>
      </c>
      <c r="B22" s="1" t="n">
        <v>45313</v>
      </c>
      <c r="C22" s="1" t="n">
        <v>45668</v>
      </c>
      <c r="D22" t="inlineStr">
        <is>
          <t>VÄSTRA GÖTALANDS LÄN</t>
        </is>
      </c>
      <c r="E22" t="inlineStr">
        <is>
          <t>MUNKEDAL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Rävticka
Vanlig groda</t>
        </is>
      </c>
      <c r="S22">
        <f>HYPERLINK("https://klasma.github.io/Logging_1430/artfynd/A 2586-2024 artfynd.xlsx", "A 2586-2024")</f>
        <v/>
      </c>
      <c r="T22">
        <f>HYPERLINK("https://klasma.github.io/Logging_1430/kartor/A 2586-2024 karta.png", "A 2586-2024")</f>
        <v/>
      </c>
      <c r="V22">
        <f>HYPERLINK("https://klasma.github.io/Logging_1430/klagomål/A 2586-2024 FSC-klagomål.docx", "A 2586-2024")</f>
        <v/>
      </c>
      <c r="W22">
        <f>HYPERLINK("https://klasma.github.io/Logging_1430/klagomålsmail/A 2586-2024 FSC-klagomål mail.docx", "A 2586-2024")</f>
        <v/>
      </c>
      <c r="X22">
        <f>HYPERLINK("https://klasma.github.io/Logging_1430/tillsyn/A 2586-2024 tillsynsbegäran.docx", "A 2586-2024")</f>
        <v/>
      </c>
      <c r="Y22">
        <f>HYPERLINK("https://klasma.github.io/Logging_1430/tillsynsmail/A 2586-2024 tillsynsbegäran mail.docx", "A 2586-2024")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45668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45668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45668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45668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45668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45668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45668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45668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45668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45668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45668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45668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45668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45668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45668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45668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45668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45668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45668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45668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45668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45668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45668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45668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45668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45668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45668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45668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45668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45668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45668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45668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45668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45668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45668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45668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45668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45668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45668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45668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45668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45668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45668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45668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45668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45668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45668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45668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45668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45668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45668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45668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45668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45668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45668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45668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45668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45668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45668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45668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45668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45668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45668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45668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45668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45668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45668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45668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45668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45668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45668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45668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45668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45668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45668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45668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45668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45668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45668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45668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45668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45668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45668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45668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45668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45668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45668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45668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45668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45668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45668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45668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45668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45668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45668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45668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45668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45668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45668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45668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45668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45668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45668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45668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45668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45668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45668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45668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45668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45668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45668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45668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45668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45668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45668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45668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45668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45668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45668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45668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45668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45668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45668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45668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45668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45668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45668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45668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45668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45668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45668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45668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45668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45668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45668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45668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45668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45668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45668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45668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45668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45668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45668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45668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45668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45668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45668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45668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45668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45668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45668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45668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45668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45668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45668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45668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45668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45668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45668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45668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45668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45668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45668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45668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45668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45668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45668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45668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45668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45668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45668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45668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45668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45668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45668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45668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45668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45668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45668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45668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45668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45668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45668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45668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45668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45668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45668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45668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45668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45668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45668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45668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45668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45668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45668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45668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45668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45668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45668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45668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45668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45668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45668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45668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45668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45668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45668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45668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45668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45668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45668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45668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45668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45668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45668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45668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45668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45668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45668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45668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45668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45668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45668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45668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45668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45668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45668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45668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45668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45668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45668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45668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45668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45668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45668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45668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45668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45668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45668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45668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45668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45668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45668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45668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45668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45668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45668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45668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45668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45668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45668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45668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45668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45668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45668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45668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45668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45668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45668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45668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45668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45668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45668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45668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45668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45668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45668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45668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45668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45668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45668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45668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45668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45668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45668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45668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45668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45668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45668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45668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45668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45668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45668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45668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45668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45668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45668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45668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45668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45668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45668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45668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45668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45668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45668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45668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45668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45668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45668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45668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45668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45668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45668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45668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45668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45668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45668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45668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45668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45668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45668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45668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45668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45668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45668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45668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45668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45668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45668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45668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45668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45668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45668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45668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45668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45668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45668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45668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45668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45668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45668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45668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45668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45668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45668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45668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45668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45668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45668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45668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45668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45668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45668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45668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45668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45668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45668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45668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45668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45668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45668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45668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45668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45668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45668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45668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45668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45668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45668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45668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45668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45668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45668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45668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45668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45668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45668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45668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45668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45668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45668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45668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45668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45668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45668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45668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45668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45668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45668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45668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45668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45668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45668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45668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45668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45668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45668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45668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45668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45668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45668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45668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45668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45668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45668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45668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45668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45668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45668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45668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45668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45668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45668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45668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45668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45668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45668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45668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45668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45668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45668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45668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45668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45668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45668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45668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45668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45668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45668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45668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45668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45668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45668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45668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45668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45668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45668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45668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45668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45668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45668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45668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45668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45668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45668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45668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45668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45668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45668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45668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45668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45668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45668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45668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45668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45668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45668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45668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45668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45668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45668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45668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45668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45668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45668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45668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45668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45668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45668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45668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45668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45668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45668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45668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45668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45668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45668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45668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45668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45668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45668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45668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45668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45668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45668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45668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45668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45668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45668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45668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45668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45668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45668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45668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45668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45668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45668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45668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45668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45668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45668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45668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45668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45668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45668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45668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45668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45668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45668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45668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45668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45668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45668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45668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45668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45668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45668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45668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45668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45668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45668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45668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45668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45668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45668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45668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45668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45668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45668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45668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45668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45668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45668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45668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45668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45668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45668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45668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45668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45668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45668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45668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45668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45668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45668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45668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45668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45668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45668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45668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45668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45668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45668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45668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45668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45668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45668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45668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45668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45668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45668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45668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45668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45668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45668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45668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45668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45668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45668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45668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45668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45668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45668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45668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45668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45668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45668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45668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45668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45668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45668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45668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45668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45668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45668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45668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45668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45668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45668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45668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45668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45668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45668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45668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45668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45668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45668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45668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45668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45668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57742-2024</t>
        </is>
      </c>
      <c r="B613" s="1" t="n">
        <v>45630</v>
      </c>
      <c r="C613" s="1" t="n">
        <v>45668</v>
      </c>
      <c r="D613" t="inlineStr">
        <is>
          <t>VÄSTRA GÖTALANDS LÄN</t>
        </is>
      </c>
      <c r="E613" t="inlineStr">
        <is>
          <t>MUNKEDAL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57630-2024</t>
        </is>
      </c>
      <c r="B614" s="1" t="n">
        <v>45630</v>
      </c>
      <c r="C614" s="1" t="n">
        <v>45668</v>
      </c>
      <c r="D614" t="inlineStr">
        <is>
          <t>VÄSTRA GÖTALANDS LÄN</t>
        </is>
      </c>
      <c r="E614" t="inlineStr">
        <is>
          <t>MUNKEDAL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57551-2024</t>
        </is>
      </c>
      <c r="B615" s="1" t="n">
        <v>45630</v>
      </c>
      <c r="C615" s="1" t="n">
        <v>45668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57619-2024</t>
        </is>
      </c>
      <c r="B616" s="1" t="n">
        <v>45630</v>
      </c>
      <c r="C616" s="1" t="n">
        <v>45668</v>
      </c>
      <c r="D616" t="inlineStr">
        <is>
          <t>VÄSTRA GÖTALANDS LÄN</t>
        </is>
      </c>
      <c r="E616" t="inlineStr">
        <is>
          <t>MUNKEDAL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45668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57744-2024</t>
        </is>
      </c>
      <c r="B618" s="1" t="n">
        <v>45630</v>
      </c>
      <c r="C618" s="1" t="n">
        <v>45668</v>
      </c>
      <c r="D618" t="inlineStr">
        <is>
          <t>VÄSTRA GÖTALANDS LÄN</t>
        </is>
      </c>
      <c r="E618" t="inlineStr">
        <is>
          <t>MUNKEDAL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45668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45668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59257-2024</t>
        </is>
      </c>
      <c r="B621" s="1" t="n">
        <v>45636</v>
      </c>
      <c r="C621" s="1" t="n">
        <v>45668</v>
      </c>
      <c r="D621" t="inlineStr">
        <is>
          <t>VÄSTRA GÖTALANDS LÄN</t>
        </is>
      </c>
      <c r="E621" t="inlineStr">
        <is>
          <t>MUNKEDAL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58933-2024</t>
        </is>
      </c>
      <c r="B622" s="1" t="n">
        <v>45636</v>
      </c>
      <c r="C622" s="1" t="n">
        <v>45668</v>
      </c>
      <c r="D622" t="inlineStr">
        <is>
          <t>VÄSTRA GÖTALANDS LÄN</t>
        </is>
      </c>
      <c r="E622" t="inlineStr">
        <is>
          <t>MUNKEDAL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60227-2024</t>
        </is>
      </c>
      <c r="B623" s="1" t="n">
        <v>45640</v>
      </c>
      <c r="C623" s="1" t="n">
        <v>45668</v>
      </c>
      <c r="D623" t="inlineStr">
        <is>
          <t>VÄSTRA GÖTALANDS LÄN</t>
        </is>
      </c>
      <c r="E623" t="inlineStr">
        <is>
          <t>MUNKEDAL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60231-2024</t>
        </is>
      </c>
      <c r="B624" s="1" t="n">
        <v>45640</v>
      </c>
      <c r="C624" s="1" t="n">
        <v>45668</v>
      </c>
      <c r="D624" t="inlineStr">
        <is>
          <t>VÄSTRA GÖTALANDS LÄN</t>
        </is>
      </c>
      <c r="E624" t="inlineStr">
        <is>
          <t>MUNKEDAL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60229-2024</t>
        </is>
      </c>
      <c r="B625" s="1" t="n">
        <v>45640</v>
      </c>
      <c r="C625" s="1" t="n">
        <v>45668</v>
      </c>
      <c r="D625" t="inlineStr">
        <is>
          <t>VÄSTRA GÖTALANDS LÄN</t>
        </is>
      </c>
      <c r="E625" t="inlineStr">
        <is>
          <t>MUNKEDAL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60228-2024</t>
        </is>
      </c>
      <c r="B626" s="1" t="n">
        <v>45640</v>
      </c>
      <c r="C626" s="1" t="n">
        <v>45668</v>
      </c>
      <c r="D626" t="inlineStr">
        <is>
          <t>VÄSTRA GÖTALANDS LÄN</t>
        </is>
      </c>
      <c r="E626" t="inlineStr">
        <is>
          <t>MUNKEDAL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60230-2024</t>
        </is>
      </c>
      <c r="B627" s="1" t="n">
        <v>45640</v>
      </c>
      <c r="C627" s="1" t="n">
        <v>45668</v>
      </c>
      <c r="D627" t="inlineStr">
        <is>
          <t>VÄSTRA GÖTALANDS LÄN</t>
        </is>
      </c>
      <c r="E627" t="inlineStr">
        <is>
          <t>MUNKEDAL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60439-2024</t>
        </is>
      </c>
      <c r="B628" s="1" t="n">
        <v>45643</v>
      </c>
      <c r="C628" s="1" t="n">
        <v>45668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912-2025</t>
        </is>
      </c>
      <c r="B629" s="1" t="n">
        <v>45664</v>
      </c>
      <c r="C629" s="1" t="n">
        <v>45668</v>
      </c>
      <c r="D629" t="inlineStr">
        <is>
          <t>VÄSTRA GÖTALANDS LÄN</t>
        </is>
      </c>
      <c r="E629" t="inlineStr">
        <is>
          <t>MUNKEDAL</t>
        </is>
      </c>
      <c r="F629" t="inlineStr">
        <is>
          <t>Övriga Aktiebolag</t>
        </is>
      </c>
      <c r="G629" t="n">
        <v>18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910-2025</t>
        </is>
      </c>
      <c r="B630" s="1" t="n">
        <v>45664</v>
      </c>
      <c r="C630" s="1" t="n">
        <v>45668</v>
      </c>
      <c r="D630" t="inlineStr">
        <is>
          <t>VÄSTRA GÖTALANDS LÄN</t>
        </is>
      </c>
      <c r="E630" t="inlineStr">
        <is>
          <t>MUNKEDAL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1135-2025</t>
        </is>
      </c>
      <c r="B631" s="1" t="n">
        <v>45666</v>
      </c>
      <c r="C631" s="1" t="n">
        <v>45668</v>
      </c>
      <c r="D631" t="inlineStr">
        <is>
          <t>VÄSTRA GÖTALANDS LÄN</t>
        </is>
      </c>
      <c r="E631" t="inlineStr">
        <is>
          <t>MUNKEDAL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2025-01-11T16:00:02Z</dcterms:created>
  <dcterms:modified xmlns:dcterms="http://purl.org/dc/terms/" xmlns:xsi="http://www.w3.org/2001/XMLSchema-instance" xsi:type="dcterms:W3CDTF">2025-01-11T16:00:02Z</dcterms:modified>
</cp:coreProperties>
</file>