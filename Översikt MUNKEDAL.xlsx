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46289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46289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46289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46289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46289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46289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46289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46289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46289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46289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46289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46289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62525-2021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46289</v>
      </c>
      <c r="F15" t="inlineStr">
        <is>
          <t>VÄSTRA GÖTALANDS LÄN</t>
        </is>
      </c>
      <c r="G15" t="inlineStr">
        <is>
          <t>MUNKEDAL</t>
        </is>
      </c>
      <c r="I15" t="n">
        <v>14.5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Trollsmultron</t>
        </is>
      </c>
      <c r="W15">
        <f>HYPERLINK("https://klasma.github.io/Logging_1430/artfynd/A 62525-2021 artfynd.xlsx", "A 62525-2021")</f>
        <v/>
      </c>
      <c r="X15">
        <f>HYPERLINK("https://klasma.github.io/Logging_1430/kartor/A 62525-2021 karta.png", "A 62525-2021")</f>
        <v/>
      </c>
      <c r="Y15">
        <f>HYPERLINK("https://klasma.github.io/Logging_1430/kartor_geotiff/A 62525-2021 georefererad karta.tif", "A 62525-2021")</f>
        <v/>
      </c>
      <c r="AA15">
        <f>HYPERLINK("https://klasma.github.io/Logging_1430/klagomål/A 62525-2021 FSC-klagomål.docx", "A 62525-2021")</f>
        <v/>
      </c>
      <c r="AB15">
        <f>HYPERLINK("https://klasma.github.io/Logging_1430/klagomålsmail/A 62525-2021 FSC-klagomål mail.docx", "A 62525-2021")</f>
        <v/>
      </c>
      <c r="AC15">
        <f>HYPERLINK("https://klasma.github.io/Logging_1430/tillsyn/A 62525-2021 tillsynsbegäran.docx", "A 62525-2021")</f>
        <v/>
      </c>
      <c r="AD15">
        <f>HYPERLINK("https://klasma.github.io/Logging_1430/tillsynsmail/A 62525-2021 tillsynsbegäran mail.docx", "A 62525-2021")</f>
        <v/>
      </c>
    </row>
    <row r="16" ht="15" customHeight="1">
      <c r="A16" t="inlineStr">
        <is>
          <t>A 37035-2024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45539</v>
      </c>
      <c r="E16" s="1" t="n">
        <v>46289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Övriga Aktiebolag</t>
        </is>
      </c>
      <c r="I16" t="n">
        <v>43.6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HYPERLINK("https://klasma.github.io/Logging_1430/artfynd/A 37035-2024 artfynd.xlsx", "A 37035-2024")</f>
        <v/>
      </c>
      <c r="X16">
        <f>HYPERLINK("https://klasma.github.io/Logging_1430/kartor/A 37035-2024 karta.png", "A 37035-2024")</f>
        <v/>
      </c>
      <c r="Y16">
        <f>HYPERLINK("https://klasma.github.io/Logging_1430/kartor_geotiff/A 37035-2024 georefererad karta.tif", "A 37035-2024")</f>
        <v/>
      </c>
      <c r="AA16">
        <f>HYPERLINK("https://klasma.github.io/Logging_1430/klagomål/A 37035-2024 FSC-klagomål.docx", "A 37035-2024")</f>
        <v/>
      </c>
      <c r="AB16">
        <f>HYPERLINK("https://klasma.github.io/Logging_1430/klagomålsmail/A 37035-2024 FSC-klagomål mail.docx", "A 37035-2024")</f>
        <v/>
      </c>
      <c r="AC16">
        <f>HYPERLINK("https://klasma.github.io/Logging_1430/tillsyn/A 37035-2024 tillsynsbegäran.docx", "A 37035-2024")</f>
        <v/>
      </c>
      <c r="AD16">
        <f>HYPERLINK("https://klasma.github.io/Logging_1430/tillsynsmail/A 37035-2024 tillsynsbegäran mail.docx", "A 37035-2024")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46289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46289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46289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46289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45160-2024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46289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Naturvårdsverket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HYPERLINK("https://klasma.github.io/Logging_1430/artfynd/A 45160-2024 artfynd.xlsx", "A 45160-2024")</f>
        <v/>
      </c>
      <c r="X21">
        <f>HYPERLINK("https://klasma.github.io/Logging_1430/kartor/A 45160-2024 karta.png", "A 45160-2024")</f>
        <v/>
      </c>
      <c r="Y21">
        <f>HYPERLINK("https://klasma.github.io/Logging_1430/kartor_geotiff/A 45160-2024 georefererad karta.tif", "A 45160-2024")</f>
        <v/>
      </c>
      <c r="AA21">
        <f>HYPERLINK("https://klasma.github.io/Logging_1430/klagomål/A 45160-2024 FSC-klagomål.docx", "A 45160-2024")</f>
        <v/>
      </c>
      <c r="AB21">
        <f>HYPERLINK("https://klasma.github.io/Logging_1430/klagomålsmail/A 45160-2024 FSC-klagomål mail.docx", "A 45160-2024")</f>
        <v/>
      </c>
      <c r="AC21">
        <f>HYPERLINK("https://klasma.github.io/Logging_1430/tillsyn/A 45160-2024 tillsynsbegäran.docx", "A 45160-2024")</f>
        <v/>
      </c>
      <c r="AD21">
        <f>HYPERLINK("https://klasma.github.io/Logging_1430/tillsynsmail/A 45160-2024 tillsynsbegäran mail.docx", "A 45160-2024")</f>
        <v/>
      </c>
      <c r="AE21">
        <f>HYPERLINK("https://klasma.github.io/Logging_1430/fåglar/A 45160-2024 prioriterade fågelarter.docx", "A 45160-2024")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46289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2887-2025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45677</v>
      </c>
      <c r="E23" s="1" t="n">
        <v>46289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9.699999999999999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Krusfrö</t>
        </is>
      </c>
      <c r="W23">
        <f>HYPERLINK("https://klasma.github.io/Logging_1430/artfynd/A 2887-2025 artfynd.xlsx", "A 2887-2025")</f>
        <v/>
      </c>
      <c r="X23">
        <f>HYPERLINK("https://klasma.github.io/Logging_1430/kartor/A 2887-2025 karta.png", "A 2887-2025")</f>
        <v/>
      </c>
      <c r="Y23">
        <f>HYPERLINK("https://klasma.github.io/Logging_1430/kartor_geotiff/A 2887-2025 georefererad karta.tif", "A 2887-2025")</f>
        <v/>
      </c>
      <c r="AA23">
        <f>HYPERLINK("https://klasma.github.io/Logging_1430/klagomål/A 2887-2025 FSC-klagomål.docx", "A 2887-2025")</f>
        <v/>
      </c>
      <c r="AB23">
        <f>HYPERLINK("https://klasma.github.io/Logging_1430/klagomålsmail/A 2887-2025 FSC-klagomål mail.docx", "A 2887-2025")</f>
        <v/>
      </c>
      <c r="AC23">
        <f>HYPERLINK("https://klasma.github.io/Logging_1430/tillsyn/A 2887-2025 tillsynsbegäran.docx", "A 2887-2025")</f>
        <v/>
      </c>
      <c r="AD23">
        <f>HYPERLINK("https://klasma.github.io/Logging_1430/tillsynsmail/A 2887-2025 tillsynsbegäran mail.docx", "A 2887-2025")</f>
        <v/>
      </c>
    </row>
    <row r="24" ht="15" customHeight="1">
      <c r="A24" t="inlineStr">
        <is>
          <t>A 1647-2025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46289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19.8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HYPERLINK("https://klasma.github.io/Logging_1430/artfynd/A 1647-2025 artfynd.xlsx", "A 1647-2025")</f>
        <v/>
      </c>
      <c r="X24">
        <f>HYPERLINK("https://klasma.github.io/Logging_1430/kartor/A 1647-2025 karta.png", "A 1647-2025")</f>
        <v/>
      </c>
      <c r="Y24">
        <f>HYPERLINK("https://klasma.github.io/Logging_1430/kartor_geotiff/A 1647-2025 georefererad karta.tif", "A 1647-2025")</f>
        <v/>
      </c>
      <c r="AA24">
        <f>HYPERLINK("https://klasma.github.io/Logging_1430/klagomål/A 1647-2025 FSC-klagomål.docx", "A 1647-2025")</f>
        <v/>
      </c>
      <c r="AB24">
        <f>HYPERLINK("https://klasma.github.io/Logging_1430/klagomålsmail/A 1647-2025 FSC-klagomål mail.docx", "A 1647-2025")</f>
        <v/>
      </c>
      <c r="AC24">
        <f>HYPERLINK("https://klasma.github.io/Logging_1430/tillsyn/A 1647-2025 tillsynsbegäran.docx", "A 1647-2025")</f>
        <v/>
      </c>
      <c r="AD24">
        <f>HYPERLINK("https://klasma.github.io/Logging_1430/tillsynsmail/A 1647-2025 tillsynsbegäran mail.docx", "A 1647-2025")</f>
        <v/>
      </c>
    </row>
    <row r="25" ht="15" customHeight="1">
      <c r="A25" t="inlineStr">
        <is>
          <t>A 36912-2023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46289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Jaktfalk</t>
        </is>
      </c>
      <c r="W25">
        <f>HYPERLINK("https://klasma.github.io/Logging_1430/artfynd/A 36912-2023 artfynd.xlsx", "A 36912-2023")</f>
        <v/>
      </c>
      <c r="X25">
        <f>HYPERLINK("https://klasma.github.io/Logging_1430/kartor/A 36912-2023 karta.png", "A 36912-2023")</f>
        <v/>
      </c>
      <c r="Y25">
        <f>HYPERLINK("https://klasma.github.io/Logging_1430/kartor_geotiff/A 36912-2023 georefererad karta.tif", "A 36912-2023")</f>
        <v/>
      </c>
      <c r="AA25">
        <f>HYPERLINK("https://klasma.github.io/Logging_1430/klagomål/A 36912-2023 FSC-klagomål.docx", "A 36912-2023")</f>
        <v/>
      </c>
      <c r="AB25">
        <f>HYPERLINK("https://klasma.github.io/Logging_1430/klagomålsmail/A 36912-2023 FSC-klagomål mail.docx", "A 36912-2023")</f>
        <v/>
      </c>
      <c r="AC25">
        <f>HYPERLINK("https://klasma.github.io/Logging_1430/tillsyn/A 36912-2023 tillsynsbegäran.docx", "A 36912-2023")</f>
        <v/>
      </c>
      <c r="AD25">
        <f>HYPERLINK("https://klasma.github.io/Logging_1430/tillsynsmail/A 36912-2023 tillsynsbegäran mail.docx", "A 36912-2023")</f>
        <v/>
      </c>
    </row>
    <row r="26" ht="15" customHeight="1">
      <c r="A26" t="inlineStr">
        <is>
          <t>A 2555-2023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46289</v>
      </c>
      <c r="F26" t="inlineStr">
        <is>
          <t>VÄSTRA GÖTALANDS LÄN</t>
        </is>
      </c>
      <c r="G26" t="inlineStr">
        <is>
          <t>MUNKEDAL</t>
        </is>
      </c>
      <c r="I26" t="n">
        <v>3.1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HYPERLINK("https://klasma.github.io/Logging_1430/artfynd/A 2555-2023 artfynd.xlsx", "A 2555-2023")</f>
        <v/>
      </c>
      <c r="X26">
        <f>HYPERLINK("https://klasma.github.io/Logging_1430/kartor/A 2555-2023 karta.png", "A 2555-2023")</f>
        <v/>
      </c>
      <c r="Y26">
        <f>HYPERLINK("https://klasma.github.io/Logging_1430/kartor_geotiff/A 2555-2023 georefererad karta.tif", "A 2555-2023")</f>
        <v/>
      </c>
      <c r="AA26">
        <f>HYPERLINK("https://klasma.github.io/Logging_1430/klagomål/A 2555-2023 FSC-klagomål.docx", "A 2555-2023")</f>
        <v/>
      </c>
      <c r="AB26">
        <f>HYPERLINK("https://klasma.github.io/Logging_1430/klagomålsmail/A 2555-2023 FSC-klagomål mail.docx", "A 2555-2023")</f>
        <v/>
      </c>
      <c r="AC26">
        <f>HYPERLINK("https://klasma.github.io/Logging_1430/tillsyn/A 2555-2023 tillsynsbegäran.docx", "A 2555-2023")</f>
        <v/>
      </c>
      <c r="AD26">
        <f>HYPERLINK("https://klasma.github.io/Logging_1430/tillsynsmail/A 2555-2023 tillsynsbegäran mail.docx", "A 2555-2023")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46289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46289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46289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46289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46289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46289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46289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46289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46289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46289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46289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46289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46289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46289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46289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46289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46289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46289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46289</v>
      </c>
      <c r="F45" t="inlineStr">
        <is>
          <t>VÄSTRA GÖTALANDS LÄN</t>
        </is>
      </c>
      <c r="G45" t="inlineStr">
        <is>
          <t>MUNKEDAL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46434-2024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46289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46289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44609</v>
      </c>
      <c r="E48" s="1" t="n">
        <v>46289</v>
      </c>
      <c r="F48" t="inlineStr">
        <is>
          <t>VÄSTRA GÖTALANDS LÄN</t>
        </is>
      </c>
      <c r="G48" t="inlineStr">
        <is>
          <t>MUNKEDAL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44748</v>
      </c>
      <c r="E49" s="1" t="n">
        <v>46289</v>
      </c>
      <c r="F49" t="inlineStr">
        <is>
          <t>VÄSTRA GÖTALANDS LÄN</t>
        </is>
      </c>
      <c r="G49" t="inlineStr">
        <is>
          <t>MUNKEDAL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46289</v>
      </c>
      <c r="F50" t="inlineStr">
        <is>
          <t>VÄSTRA GÖTALANDS LÄN</t>
        </is>
      </c>
      <c r="G50" t="inlineStr">
        <is>
          <t>MUNKEDAL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46289</v>
      </c>
      <c r="F51" t="inlineStr">
        <is>
          <t>VÄSTRA GÖTALANDS LÄN</t>
        </is>
      </c>
      <c r="G51" t="inlineStr">
        <is>
          <t>MUNKEDAL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46289</v>
      </c>
      <c r="F52" t="inlineStr">
        <is>
          <t>VÄSTRA GÖTALANDS LÄN</t>
        </is>
      </c>
      <c r="G52" t="inlineStr">
        <is>
          <t>MUNKEDAL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46289</v>
      </c>
      <c r="F53" t="inlineStr">
        <is>
          <t>VÄSTRA GÖTALANDS LÄN</t>
        </is>
      </c>
      <c r="G53" t="inlineStr">
        <is>
          <t>MUNKEDAL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46289</v>
      </c>
      <c r="F54" t="inlineStr">
        <is>
          <t>VÄSTRA GÖTALANDS LÄN</t>
        </is>
      </c>
      <c r="G54" t="inlineStr">
        <is>
          <t>MUNKEDAL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46289</v>
      </c>
      <c r="F55" t="inlineStr">
        <is>
          <t>VÄSTRA GÖTALANDS LÄN</t>
        </is>
      </c>
      <c r="G55" t="inlineStr">
        <is>
          <t>MUNKEDAL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46289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45488</v>
      </c>
      <c r="E57" s="1" t="n">
        <v>46289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45489</v>
      </c>
      <c r="E58" s="1" t="n">
        <v>46289</v>
      </c>
      <c r="F58" t="inlineStr">
        <is>
          <t>VÄSTRA GÖTALANDS LÄN</t>
        </is>
      </c>
      <c r="G58" t="inlineStr">
        <is>
          <t>MUNKEDAL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46289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56892-2023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46289</v>
      </c>
      <c r="F60" t="inlineStr">
        <is>
          <t>VÄSTRA GÖTALANDS LÄN</t>
        </is>
      </c>
      <c r="G60" t="inlineStr">
        <is>
          <t>MUNKEDAL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46289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46289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31350-2022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44774</v>
      </c>
      <c r="E63" s="1" t="n">
        <v>46289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45678</v>
      </c>
      <c r="E64" s="1" t="n">
        <v>46289</v>
      </c>
      <c r="F64" t="inlineStr">
        <is>
          <t>VÄSTRA GÖTALANDS LÄN</t>
        </is>
      </c>
      <c r="G64" t="inlineStr">
        <is>
          <t>MUNKEDAL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58617-2023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45251</v>
      </c>
      <c r="E65" s="1" t="n">
        <v>46289</v>
      </c>
      <c r="F65" t="inlineStr">
        <is>
          <t>VÄSTRA GÖTALANDS LÄN</t>
        </is>
      </c>
      <c r="G65" t="inlineStr">
        <is>
          <t>MUNKEDAL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46289</v>
      </c>
      <c r="F66" t="inlineStr">
        <is>
          <t>VÄSTRA GÖTALANDS LÄN</t>
        </is>
      </c>
      <c r="G66" t="inlineStr">
        <is>
          <t>MUNKEDAL</t>
        </is>
      </c>
      <c r="I66" t="n">
        <v>13.8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44897</v>
      </c>
      <c r="E67" s="1" t="n">
        <v>46289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44935</v>
      </c>
      <c r="E68" s="1" t="n">
        <v>46289</v>
      </c>
      <c r="F68" t="inlineStr">
        <is>
          <t>VÄSTRA GÖTALANDS LÄN</t>
        </is>
      </c>
      <c r="G68" t="inlineStr">
        <is>
          <t>MUNKEDAL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46289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46289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Kommuner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45401</v>
      </c>
      <c r="E71" s="1" t="n">
        <v>46289</v>
      </c>
      <c r="F71" t="inlineStr">
        <is>
          <t>VÄSTRA GÖTALANDS LÄN</t>
        </is>
      </c>
      <c r="G71" t="inlineStr">
        <is>
          <t>MUNKEDAL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46289</v>
      </c>
      <c r="F72" t="inlineStr">
        <is>
          <t>VÄSTRA GÖTALANDS LÄN</t>
        </is>
      </c>
      <c r="G72" t="inlineStr">
        <is>
          <t>MUNKEDAL</t>
        </is>
      </c>
      <c r="I72" t="n">
        <v>12.7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46289</v>
      </c>
      <c r="F73" t="inlineStr">
        <is>
          <t>VÄSTRA GÖTALANDS LÄN</t>
        </is>
      </c>
      <c r="G73" t="inlineStr">
        <is>
          <t>MUNKEDAL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45267</v>
      </c>
      <c r="E74" s="1" t="n">
        <v>46289</v>
      </c>
      <c r="F74" t="inlineStr">
        <is>
          <t>VÄSTRA GÖTALANDS LÄN</t>
        </is>
      </c>
      <c r="G74" t="inlineStr">
        <is>
          <t>MUNKEDAL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45408</v>
      </c>
      <c r="E75" s="1" t="n">
        <v>46289</v>
      </c>
      <c r="F75" t="inlineStr">
        <is>
          <t>VÄSTRA GÖTALANDS LÄN</t>
        </is>
      </c>
      <c r="G75" t="inlineStr">
        <is>
          <t>MUNKEDAL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46289</v>
      </c>
      <c r="F76" t="inlineStr">
        <is>
          <t>VÄSTRA GÖTALANDS LÄN</t>
        </is>
      </c>
      <c r="G76" t="inlineStr">
        <is>
          <t>MUNKEDAL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45720</v>
      </c>
      <c r="E77" s="1" t="n">
        <v>46289</v>
      </c>
      <c r="F77" t="inlineStr">
        <is>
          <t>VÄSTRA GÖTALANDS LÄN</t>
        </is>
      </c>
      <c r="G77" t="inlineStr">
        <is>
          <t>MUNKEDAL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46289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46289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46289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26.5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46289</v>
      </c>
      <c r="F81" t="inlineStr">
        <is>
          <t>VÄSTRA GÖTALANDS LÄN</t>
        </is>
      </c>
      <c r="G81" t="inlineStr">
        <is>
          <t>MUNKEDAL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46289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45071</v>
      </c>
      <c r="E83" s="1" t="n">
        <v>46289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Naturvårdsverket</t>
        </is>
      </c>
      <c r="I83" t="n">
        <v>15.8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46289</v>
      </c>
      <c r="F84" t="inlineStr">
        <is>
          <t>VÄSTRA GÖTALANDS LÄN</t>
        </is>
      </c>
      <c r="G84" t="inlineStr">
        <is>
          <t>MUNKEDAL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45696</v>
      </c>
      <c r="E85" s="1" t="n">
        <v>46289</v>
      </c>
      <c r="F85" t="inlineStr">
        <is>
          <t>VÄSTRA GÖTALANDS LÄN</t>
        </is>
      </c>
      <c r="G85" t="inlineStr">
        <is>
          <t>MUNKEDAL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46289</v>
      </c>
      <c r="F86" t="inlineStr">
        <is>
          <t>VÄSTRA GÖTALANDS LÄN</t>
        </is>
      </c>
      <c r="G86" t="inlineStr">
        <is>
          <t>MUNKEDAL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46289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46289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46289</v>
      </c>
      <c r="F89" t="inlineStr">
        <is>
          <t>VÄSTRA GÖTALANDS LÄN</t>
        </is>
      </c>
      <c r="G89" t="inlineStr">
        <is>
          <t>MUNKEDAL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46289</v>
      </c>
      <c r="F90" t="inlineStr">
        <is>
          <t>VÄSTRA GÖTALANDS LÄN</t>
        </is>
      </c>
      <c r="G90" t="inlineStr">
        <is>
          <t>MUNKEDAL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45313</v>
      </c>
      <c r="E91" s="1" t="n">
        <v>46289</v>
      </c>
      <c r="F91" t="inlineStr">
        <is>
          <t>VÄSTRA GÖTALANDS LÄN</t>
        </is>
      </c>
      <c r="G91" t="inlineStr">
        <is>
          <t>MUNKEDAL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45296</v>
      </c>
      <c r="E92" s="1" t="n">
        <v>46289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46289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46289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46289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45478</v>
      </c>
      <c r="E96" s="1" t="n">
        <v>46289</v>
      </c>
      <c r="F96" t="inlineStr">
        <is>
          <t>VÄSTRA GÖTALANDS LÄN</t>
        </is>
      </c>
      <c r="G96" t="inlineStr">
        <is>
          <t>MUNKEDAL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46289</v>
      </c>
      <c r="F97" t="inlineStr">
        <is>
          <t>VÄSTRA GÖTALANDS LÄN</t>
        </is>
      </c>
      <c r="G97" t="inlineStr">
        <is>
          <t>MUNKEDAL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46289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46289</v>
      </c>
      <c r="F99" t="inlineStr">
        <is>
          <t>VÄSTRA GÖTALANDS LÄN</t>
        </is>
      </c>
      <c r="G99" t="inlineStr">
        <is>
          <t>MUNKEDAL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46289</v>
      </c>
      <c r="F100" t="inlineStr">
        <is>
          <t>VÄSTRA GÖTALANDS LÄN</t>
        </is>
      </c>
      <c r="G100" t="inlineStr">
        <is>
          <t>MUNKEDAL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45296</v>
      </c>
      <c r="E101" s="1" t="n">
        <v>46289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Kyrkan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46289</v>
      </c>
      <c r="F102" t="inlineStr">
        <is>
          <t>VÄSTRA GÖTALANDS LÄN</t>
        </is>
      </c>
      <c r="G102" t="inlineStr">
        <is>
          <t>MUNKEDAL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46289</v>
      </c>
      <c r="F103" t="inlineStr">
        <is>
          <t>VÄSTRA GÖTALANDS LÄN</t>
        </is>
      </c>
      <c r="G103" t="inlineStr">
        <is>
          <t>MUNKEDAL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46289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46289</v>
      </c>
      <c r="F105" t="inlineStr">
        <is>
          <t>VÄSTRA GÖTALANDS LÄN</t>
        </is>
      </c>
      <c r="G105" t="inlineStr">
        <is>
          <t>MUNKEDAL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46289</v>
      </c>
      <c r="F106" t="inlineStr">
        <is>
          <t>VÄSTRA GÖTALANDS LÄN</t>
        </is>
      </c>
      <c r="G106" t="inlineStr">
        <is>
          <t>MUNKEDAL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46289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46289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46289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46289</v>
      </c>
      <c r="F110" t="inlineStr">
        <is>
          <t>VÄSTRA GÖTALANDS LÄN</t>
        </is>
      </c>
      <c r="G110" t="inlineStr">
        <is>
          <t>MUNKEDAL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46289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46289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46289</v>
      </c>
      <c r="F113" t="inlineStr">
        <is>
          <t>VÄSTRA GÖTALANDS LÄN</t>
        </is>
      </c>
      <c r="G113" t="inlineStr">
        <is>
          <t>MUNKEDAL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46289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Naturvårdsverket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45154</v>
      </c>
      <c r="E115" s="1" t="n">
        <v>46289</v>
      </c>
      <c r="F115" t="inlineStr">
        <is>
          <t>VÄSTRA GÖTALANDS LÄN</t>
        </is>
      </c>
      <c r="G115" t="inlineStr">
        <is>
          <t>MUNKEDAL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46289</v>
      </c>
      <c r="F116" t="inlineStr">
        <is>
          <t>VÄSTRA GÖTALANDS LÄN</t>
        </is>
      </c>
      <c r="G116" t="inlineStr">
        <is>
          <t>MUNKEDAL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46289</v>
      </c>
      <c r="F117" t="inlineStr">
        <is>
          <t>VÄSTRA GÖTALANDS LÄN</t>
        </is>
      </c>
      <c r="G117" t="inlineStr">
        <is>
          <t>MUNKEDAL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46289</v>
      </c>
      <c r="F118" t="inlineStr">
        <is>
          <t>VÄSTRA GÖTALANDS LÄN</t>
        </is>
      </c>
      <c r="G118" t="inlineStr">
        <is>
          <t>MUNKEDAL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46289</v>
      </c>
      <c r="F119" t="inlineStr">
        <is>
          <t>VÄSTRA GÖTALANDS LÄN</t>
        </is>
      </c>
      <c r="G119" t="inlineStr">
        <is>
          <t>MUNKEDAL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46289</v>
      </c>
      <c r="F120" t="inlineStr">
        <is>
          <t>VÄSTRA GÖTALANDS LÄN</t>
        </is>
      </c>
      <c r="G120" t="inlineStr">
        <is>
          <t>MUNKEDAL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45282</v>
      </c>
      <c r="E121" s="1" t="n">
        <v>46289</v>
      </c>
      <c r="F121" t="inlineStr">
        <is>
          <t>VÄSTRA GÖTALANDS LÄN</t>
        </is>
      </c>
      <c r="G121" t="inlineStr">
        <is>
          <t>MUNKEDAL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46289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46289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46289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46289</v>
      </c>
      <c r="F125" t="inlineStr">
        <is>
          <t>VÄSTRA GÖTALANDS LÄN</t>
        </is>
      </c>
      <c r="G125" t="inlineStr">
        <is>
          <t>MUNKEDAL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45488</v>
      </c>
      <c r="E126" s="1" t="n">
        <v>46289</v>
      </c>
      <c r="F126" t="inlineStr">
        <is>
          <t>VÄSTRA GÖTALANDS LÄN</t>
        </is>
      </c>
      <c r="G126" t="inlineStr">
        <is>
          <t>MUNKEDAL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46289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46289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46289</v>
      </c>
      <c r="F129" t="inlineStr">
        <is>
          <t>VÄSTRA GÖTALANDS LÄN</t>
        </is>
      </c>
      <c r="G129" t="inlineStr">
        <is>
          <t>MUNKEDAL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46289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46289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46289</v>
      </c>
      <c r="F132" t="inlineStr">
        <is>
          <t>VÄSTRA GÖTALANDS LÄN</t>
        </is>
      </c>
      <c r="G132" t="inlineStr">
        <is>
          <t>MUNKEDAL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46289</v>
      </c>
      <c r="F133" t="inlineStr">
        <is>
          <t>VÄSTRA GÖTALANDS LÄN</t>
        </is>
      </c>
      <c r="G133" t="inlineStr">
        <is>
          <t>MUNKEDAL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46289</v>
      </c>
      <c r="F134" t="inlineStr">
        <is>
          <t>VÄSTRA GÖTALANDS LÄN</t>
        </is>
      </c>
      <c r="G134" t="inlineStr">
        <is>
          <t>MUNKEDAL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46289</v>
      </c>
      <c r="F135" t="inlineStr">
        <is>
          <t>VÄSTRA GÖTALANDS LÄN</t>
        </is>
      </c>
      <c r="G135" t="inlineStr">
        <is>
          <t>MUNKEDAL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46289</v>
      </c>
      <c r="F136" t="inlineStr">
        <is>
          <t>VÄSTRA GÖTALANDS LÄN</t>
        </is>
      </c>
      <c r="G136" t="inlineStr">
        <is>
          <t>MUNKEDAL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24073-2024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45456</v>
      </c>
      <c r="E137" s="1" t="n">
        <v>46289</v>
      </c>
      <c r="F137" t="inlineStr">
        <is>
          <t>VÄSTRA GÖTALANDS LÄN</t>
        </is>
      </c>
      <c r="G137" t="inlineStr">
        <is>
          <t>MUNKEDAL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45921</v>
      </c>
      <c r="E138" s="1" t="n">
        <v>46289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44481</v>
      </c>
      <c r="E139" s="1" t="n">
        <v>46289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46289</v>
      </c>
      <c r="F140" t="inlineStr">
        <is>
          <t>VÄSTRA GÖTALANDS LÄN</t>
        </is>
      </c>
      <c r="G140" t="inlineStr">
        <is>
          <t>MUNKEDAL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45148</v>
      </c>
      <c r="E141" s="1" t="n">
        <v>46289</v>
      </c>
      <c r="F141" t="inlineStr">
        <is>
          <t>VÄSTRA GÖTALANDS LÄN</t>
        </is>
      </c>
      <c r="G141" t="inlineStr">
        <is>
          <t>MUNKEDAL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46289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59150-2022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46289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Kyrkan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44694</v>
      </c>
      <c r="E144" s="1" t="n">
        <v>46289</v>
      </c>
      <c r="F144" t="inlineStr">
        <is>
          <t>VÄSTRA GÖTALANDS LÄN</t>
        </is>
      </c>
      <c r="G144" t="inlineStr">
        <is>
          <t>MUNKEDAL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46289</v>
      </c>
      <c r="F145" t="inlineStr">
        <is>
          <t>VÄSTRA GÖTALANDS LÄN</t>
        </is>
      </c>
      <c r="G145" t="inlineStr">
        <is>
          <t>MUNKEDAL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53514-2024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45614</v>
      </c>
      <c r="E146" s="1" t="n">
        <v>46289</v>
      </c>
      <c r="F146" t="inlineStr">
        <is>
          <t>VÄSTRA GÖTALANDS LÄN</t>
        </is>
      </c>
      <c r="G146" t="inlineStr">
        <is>
          <t>MUNKEDAL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46289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46289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Kyrkan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45557</v>
      </c>
      <c r="E149" s="1" t="n">
        <v>46289</v>
      </c>
      <c r="F149" t="inlineStr">
        <is>
          <t>VÄSTRA GÖTALANDS LÄN</t>
        </is>
      </c>
      <c r="G149" t="inlineStr">
        <is>
          <t>MUNKEDAL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46289</v>
      </c>
      <c r="F150" t="inlineStr">
        <is>
          <t>VÄSTRA GÖTALANDS LÄN</t>
        </is>
      </c>
      <c r="G150" t="inlineStr">
        <is>
          <t>MUNKEDAL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46289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46289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46289</v>
      </c>
      <c r="F153" t="inlineStr">
        <is>
          <t>VÄSTRA GÖTALANDS LÄN</t>
        </is>
      </c>
      <c r="G153" t="inlineStr">
        <is>
          <t>MUNKEDAL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46289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45618</v>
      </c>
      <c r="E155" s="1" t="n">
        <v>46289</v>
      </c>
      <c r="F155" t="inlineStr">
        <is>
          <t>VÄSTRA GÖTALANDS LÄN</t>
        </is>
      </c>
      <c r="G155" t="inlineStr">
        <is>
          <t>MUNKEDAL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46289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46289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46289</v>
      </c>
      <c r="F158" t="inlineStr">
        <is>
          <t>VÄSTRA GÖTALANDS LÄN</t>
        </is>
      </c>
      <c r="G158" t="inlineStr">
        <is>
          <t>MUNKEDAL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46289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46289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46289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46289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46289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46289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46289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46289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58066-2021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44487</v>
      </c>
      <c r="E167" s="1" t="n">
        <v>46289</v>
      </c>
      <c r="F167" t="inlineStr">
        <is>
          <t>VÄSTRA GÖTALANDS LÄN</t>
        </is>
      </c>
      <c r="G167" t="inlineStr">
        <is>
          <t>MUNKEDAL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45002</v>
      </c>
      <c r="E168" s="1" t="n">
        <v>46289</v>
      </c>
      <c r="F168" t="inlineStr">
        <is>
          <t>VÄSTRA GÖTALANDS LÄN</t>
        </is>
      </c>
      <c r="G168" t="inlineStr">
        <is>
          <t>MUNKEDAL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45522</v>
      </c>
      <c r="E169" s="1" t="n">
        <v>46289</v>
      </c>
      <c r="F169" t="inlineStr">
        <is>
          <t>VÄSTRA GÖTALANDS LÄN</t>
        </is>
      </c>
      <c r="G169" t="inlineStr">
        <is>
          <t>MUNKEDAL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46289</v>
      </c>
      <c r="F170" t="inlineStr">
        <is>
          <t>VÄSTRA GÖTALANDS LÄN</t>
        </is>
      </c>
      <c r="G170" t="inlineStr">
        <is>
          <t>MUNKEDAL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46289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46289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46289</v>
      </c>
      <c r="F173" t="inlineStr">
        <is>
          <t>VÄSTRA GÖTALANDS LÄN</t>
        </is>
      </c>
      <c r="G173" t="inlineStr">
        <is>
          <t>MUNKEDAL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46289</v>
      </c>
      <c r="F174" t="inlineStr">
        <is>
          <t>VÄSTRA GÖTALANDS LÄN</t>
        </is>
      </c>
      <c r="G174" t="inlineStr">
        <is>
          <t>MUNKEDAL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46289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Naturvårdsverket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45029</v>
      </c>
      <c r="E176" s="1" t="n">
        <v>46289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46289</v>
      </c>
      <c r="F177" t="inlineStr">
        <is>
          <t>VÄSTRA GÖTALANDS LÄN</t>
        </is>
      </c>
      <c r="G177" t="inlineStr">
        <is>
          <t>MUNKEDAL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46289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46289</v>
      </c>
      <c r="F179" t="inlineStr">
        <is>
          <t>VÄSTRA GÖTALANDS LÄN</t>
        </is>
      </c>
      <c r="G179" t="inlineStr">
        <is>
          <t>MUNKEDAL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46289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46289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46289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46289</v>
      </c>
      <c r="F183" t="inlineStr">
        <is>
          <t>VÄSTRA GÖTALANDS LÄN</t>
        </is>
      </c>
      <c r="G183" t="inlineStr">
        <is>
          <t>MUNKEDAL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46289</v>
      </c>
      <c r="F184" t="inlineStr">
        <is>
          <t>VÄSTRA GÖTALANDS LÄN</t>
        </is>
      </c>
      <c r="G184" t="inlineStr">
        <is>
          <t>MUNKEDAL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46289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46289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46289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45325</v>
      </c>
      <c r="E188" s="1" t="n">
        <v>46289</v>
      </c>
      <c r="F188" t="inlineStr">
        <is>
          <t>VÄSTRA GÖTALANDS LÄN</t>
        </is>
      </c>
      <c r="G188" t="inlineStr">
        <is>
          <t>MUNKEDAL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46289</v>
      </c>
      <c r="F189" t="inlineStr">
        <is>
          <t>VÄSTRA GÖTALANDS LÄN</t>
        </is>
      </c>
      <c r="G189" t="inlineStr">
        <is>
          <t>MUNKEDAL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45736</v>
      </c>
      <c r="E190" s="1" t="n">
        <v>46289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49912-2023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45214</v>
      </c>
      <c r="E191" s="1" t="n">
        <v>46289</v>
      </c>
      <c r="F191" t="inlineStr">
        <is>
          <t>VÄSTRA GÖTALANDS LÄN</t>
        </is>
      </c>
      <c r="G191" t="inlineStr">
        <is>
          <t>MUNKEDAL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46289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46289</v>
      </c>
      <c r="F193" t="inlineStr">
        <is>
          <t>VÄSTRA GÖTALANDS LÄN</t>
        </is>
      </c>
      <c r="G193" t="inlineStr">
        <is>
          <t>MUNKEDAL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45138</v>
      </c>
      <c r="E194" s="1" t="n">
        <v>46289</v>
      </c>
      <c r="F194" t="inlineStr">
        <is>
          <t>VÄSTRA GÖTALANDS LÄN</t>
        </is>
      </c>
      <c r="G194" t="inlineStr">
        <is>
          <t>MUNKEDAL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18278-2025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45762</v>
      </c>
      <c r="E195" s="1" t="n">
        <v>46289</v>
      </c>
      <c r="F195" t="inlineStr">
        <is>
          <t>VÄSTRA GÖTALANDS LÄN</t>
        </is>
      </c>
      <c r="G195" t="inlineStr">
        <is>
          <t>MUNKEDAL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46289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45618</v>
      </c>
      <c r="E197" s="1" t="n">
        <v>46289</v>
      </c>
      <c r="F197" t="inlineStr">
        <is>
          <t>VÄSTRA GÖTALANDS LÄN</t>
        </is>
      </c>
      <c r="G197" t="inlineStr">
        <is>
          <t>MUNKEDAL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46289</v>
      </c>
      <c r="F198" t="inlineStr">
        <is>
          <t>VÄSTRA GÖTALANDS LÄN</t>
        </is>
      </c>
      <c r="G198" t="inlineStr">
        <is>
          <t>MUNKEDAL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46289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46289</v>
      </c>
      <c r="F200" t="inlineStr">
        <is>
          <t>VÄSTRA GÖTALANDS LÄN</t>
        </is>
      </c>
      <c r="G200" t="inlineStr">
        <is>
          <t>MUNKEDAL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46289</v>
      </c>
      <c r="F201" t="inlineStr">
        <is>
          <t>VÄSTRA GÖTALANDS LÄN</t>
        </is>
      </c>
      <c r="G201" t="inlineStr">
        <is>
          <t>MUNKEDAL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45640</v>
      </c>
      <c r="E202" s="1" t="n">
        <v>46289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46289</v>
      </c>
      <c r="F203" t="inlineStr">
        <is>
          <t>VÄSTRA GÖTALANDS LÄN</t>
        </is>
      </c>
      <c r="G203" t="inlineStr">
        <is>
          <t>MUNKEDAL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46289</v>
      </c>
      <c r="F204" t="inlineStr">
        <is>
          <t>VÄSTRA GÖTALANDS LÄN</t>
        </is>
      </c>
      <c r="G204" t="inlineStr">
        <is>
          <t>MUNKEDAL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46289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46289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46289</v>
      </c>
      <c r="F207" t="inlineStr">
        <is>
          <t>VÄSTRA GÖTALANDS LÄN</t>
        </is>
      </c>
      <c r="G207" t="inlineStr">
        <is>
          <t>MUNKEDAL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46289</v>
      </c>
      <c r="F208" t="inlineStr">
        <is>
          <t>VÄSTRA GÖTALANDS LÄN</t>
        </is>
      </c>
      <c r="G208" t="inlineStr">
        <is>
          <t>MUNKEDAL</t>
        </is>
      </c>
      <c r="I208" t="n">
        <v>16.3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46289</v>
      </c>
      <c r="F209" t="inlineStr">
        <is>
          <t>VÄSTRA GÖTALANDS LÄN</t>
        </is>
      </c>
      <c r="G209" t="inlineStr">
        <is>
          <t>MUNKEDAL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46289</v>
      </c>
      <c r="F210" t="inlineStr">
        <is>
          <t>VÄSTRA GÖTALANDS LÄN</t>
        </is>
      </c>
      <c r="G210" t="inlineStr">
        <is>
          <t>MUNKEDAL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46289</v>
      </c>
      <c r="F211" t="inlineStr">
        <is>
          <t>VÄSTRA GÖTALANDS LÄN</t>
        </is>
      </c>
      <c r="G211" t="inlineStr">
        <is>
          <t>MUNKEDAL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46289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45640</v>
      </c>
      <c r="E213" s="1" t="n">
        <v>46289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45640</v>
      </c>
      <c r="E214" s="1" t="n">
        <v>46289</v>
      </c>
      <c r="F214" t="inlineStr">
        <is>
          <t>VÄSTRA GÖTALANDS LÄN</t>
        </is>
      </c>
      <c r="G214" t="inlineStr">
        <is>
          <t>MUNKEDAL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7844-2022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46289</v>
      </c>
      <c r="F215" t="inlineStr">
        <is>
          <t>VÄSTRA GÖTALANDS LÄN</t>
        </is>
      </c>
      <c r="G215" t="inlineStr">
        <is>
          <t>MUNKEDAL</t>
        </is>
      </c>
      <c r="I215" t="n">
        <v>15.4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46289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18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46289</v>
      </c>
      <c r="F217" t="inlineStr">
        <is>
          <t>VÄSTRA GÖTALANDS LÄN</t>
        </is>
      </c>
      <c r="G217" t="inlineStr">
        <is>
          <t>MUNKEDAL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46289</v>
      </c>
      <c r="F218" t="inlineStr">
        <is>
          <t>VÄSTRA GÖTALANDS LÄN</t>
        </is>
      </c>
      <c r="G218" t="inlineStr">
        <is>
          <t>MUNKEDAL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45337</v>
      </c>
      <c r="E219" s="1" t="n">
        <v>46289</v>
      </c>
      <c r="F219" t="inlineStr">
        <is>
          <t>VÄSTRA GÖTALANDS LÄN</t>
        </is>
      </c>
      <c r="G219" t="inlineStr">
        <is>
          <t>MUNKEDAL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46289</v>
      </c>
      <c r="F220" t="inlineStr">
        <is>
          <t>VÄSTRA GÖTALANDS LÄN</t>
        </is>
      </c>
      <c r="G220" t="inlineStr">
        <is>
          <t>MUNKEDAL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45831</v>
      </c>
      <c r="E221" s="1" t="n">
        <v>46289</v>
      </c>
      <c r="F221" t="inlineStr">
        <is>
          <t>VÄSTRA GÖTALANDS LÄN</t>
        </is>
      </c>
      <c r="G221" t="inlineStr">
        <is>
          <t>MUNKEDAL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45293</v>
      </c>
      <c r="E222" s="1" t="n">
        <v>46289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46289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46289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46289</v>
      </c>
      <c r="F225" t="inlineStr">
        <is>
          <t>VÄSTRA GÖTALANDS LÄN</t>
        </is>
      </c>
      <c r="G225" t="inlineStr">
        <is>
          <t>MUNKEDAL</t>
        </is>
      </c>
      <c r="I225" t="n">
        <v>17.5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46289</v>
      </c>
      <c r="F226" t="inlineStr">
        <is>
          <t>VÄSTRA GÖTALANDS LÄN</t>
        </is>
      </c>
      <c r="G226" t="inlineStr">
        <is>
          <t>MUNKEDAL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46289</v>
      </c>
      <c r="F227" t="inlineStr">
        <is>
          <t>VÄSTRA GÖTALANDS LÄN</t>
        </is>
      </c>
      <c r="G227" t="inlineStr">
        <is>
          <t>MUNKEDAL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46289</v>
      </c>
      <c r="F228" t="inlineStr">
        <is>
          <t>VÄSTRA GÖTALANDS LÄN</t>
        </is>
      </c>
      <c r="G228" t="inlineStr">
        <is>
          <t>MUNKEDAL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46289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46289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25.2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46289</v>
      </c>
      <c r="F231" t="inlineStr">
        <is>
          <t>VÄSTRA GÖTALANDS LÄN</t>
        </is>
      </c>
      <c r="G231" t="inlineStr">
        <is>
          <t>MUNKEDAL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46289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44704</v>
      </c>
      <c r="E233" s="1" t="n">
        <v>46289</v>
      </c>
      <c r="F233" t="inlineStr">
        <is>
          <t>VÄSTRA GÖTALANDS LÄN</t>
        </is>
      </c>
      <c r="G233" t="inlineStr">
        <is>
          <t>MUNKEDAL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46289</v>
      </c>
      <c r="F234" t="inlineStr">
        <is>
          <t>VÄSTRA GÖTALANDS LÄN</t>
        </is>
      </c>
      <c r="G234" t="inlineStr">
        <is>
          <t>MUNKEDAL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46289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45296</v>
      </c>
      <c r="E236" s="1" t="n">
        <v>46289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46289</v>
      </c>
      <c r="F237" t="inlineStr">
        <is>
          <t>VÄSTRA GÖTALANDS LÄN</t>
        </is>
      </c>
      <c r="G237" t="inlineStr">
        <is>
          <t>MUNKEDAL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46289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46289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46289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46289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46289</v>
      </c>
      <c r="F242" t="inlineStr">
        <is>
          <t>VÄSTRA GÖTALANDS LÄN</t>
        </is>
      </c>
      <c r="G242" t="inlineStr">
        <is>
          <t>MUNKEDAL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46289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46289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46289</v>
      </c>
      <c r="F245" t="inlineStr">
        <is>
          <t>VÄSTRA GÖTALANDS LÄN</t>
        </is>
      </c>
      <c r="G245" t="inlineStr">
        <is>
          <t>MUNKEDAL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46289</v>
      </c>
      <c r="F246" t="inlineStr">
        <is>
          <t>VÄSTRA GÖTALANDS LÄN</t>
        </is>
      </c>
      <c r="G246" t="inlineStr">
        <is>
          <t>MUNKEDAL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46047</v>
      </c>
      <c r="E247" s="1" t="n">
        <v>46289</v>
      </c>
      <c r="F247" t="inlineStr">
        <is>
          <t>VÄSTRA GÖTALANDS LÄN</t>
        </is>
      </c>
      <c r="G247" t="inlineStr">
        <is>
          <t>MUNKEDAL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46289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46289</v>
      </c>
      <c r="F249" t="inlineStr">
        <is>
          <t>VÄSTRA GÖTALANDS LÄN</t>
        </is>
      </c>
      <c r="G249" t="inlineStr">
        <is>
          <t>MUNKEDAL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46289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46289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46022</v>
      </c>
      <c r="E252" s="1" t="n">
        <v>46289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46022</v>
      </c>
      <c r="E253" s="1" t="n">
        <v>46289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46289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45619</v>
      </c>
      <c r="E255" s="1" t="n">
        <v>46289</v>
      </c>
      <c r="F255" t="inlineStr">
        <is>
          <t>VÄSTRA GÖTALANDS LÄN</t>
        </is>
      </c>
      <c r="G255" t="inlineStr">
        <is>
          <t>MUNKEDAL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46286</v>
      </c>
      <c r="E256" s="1" t="n">
        <v>46289</v>
      </c>
      <c r="F256" t="inlineStr">
        <is>
          <t>VÄSTRA GÖTALANDS LÄN</t>
        </is>
      </c>
      <c r="G256" t="inlineStr">
        <is>
          <t>MUNKEDAL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54001-2023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45231</v>
      </c>
      <c r="E257" s="1" t="n">
        <v>46289</v>
      </c>
      <c r="F257" t="inlineStr">
        <is>
          <t>VÄSTRA GÖTALANDS LÄN</t>
        </is>
      </c>
      <c r="G257" t="inlineStr">
        <is>
          <t>MUNKEDAL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45188</v>
      </c>
      <c r="E258" s="1" t="n">
        <v>46289</v>
      </c>
      <c r="F258" t="inlineStr">
        <is>
          <t>VÄSTRA GÖTALANDS LÄN</t>
        </is>
      </c>
      <c r="G258" t="inlineStr">
        <is>
          <t>MUNKEDAL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46289</v>
      </c>
      <c r="F259" t="inlineStr">
        <is>
          <t>VÄSTRA GÖTALANDS LÄN</t>
        </is>
      </c>
      <c r="G259" t="inlineStr">
        <is>
          <t>MUNKEDAL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46289</v>
      </c>
      <c r="F260" t="inlineStr">
        <is>
          <t>VÄSTRA GÖTALANDS LÄN</t>
        </is>
      </c>
      <c r="G260" t="inlineStr">
        <is>
          <t>MUNKEDAL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46289</v>
      </c>
      <c r="F261" t="inlineStr">
        <is>
          <t>VÄSTRA GÖTALANDS LÄN</t>
        </is>
      </c>
      <c r="G261" t="inlineStr">
        <is>
          <t>MUNKEDAL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46289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46289</v>
      </c>
      <c r="F263" t="inlineStr">
        <is>
          <t>VÄSTRA GÖTALANDS LÄN</t>
        </is>
      </c>
      <c r="G263" t="inlineStr">
        <is>
          <t>MUNKEDAL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46286</v>
      </c>
      <c r="E264" s="1" t="n">
        <v>46289</v>
      </c>
      <c r="F264" t="inlineStr">
        <is>
          <t>VÄSTRA GÖTALANDS LÄN</t>
        </is>
      </c>
      <c r="G264" t="inlineStr">
        <is>
          <t>MUNKEDAL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46276</v>
      </c>
      <c r="E265" s="1" t="n">
        <v>46289</v>
      </c>
      <c r="F265" t="inlineStr">
        <is>
          <t>VÄSTRA GÖTALANDS LÄN</t>
        </is>
      </c>
      <c r="G265" t="inlineStr">
        <is>
          <t>MUNKEDAL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46289</v>
      </c>
      <c r="F266" t="inlineStr">
        <is>
          <t>VÄSTRA GÖTALANDS LÄN</t>
        </is>
      </c>
      <c r="G266" t="inlineStr">
        <is>
          <t>MUNKEDAL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46289</v>
      </c>
      <c r="F267" t="inlineStr">
        <is>
          <t>VÄSTRA GÖTALANDS LÄN</t>
        </is>
      </c>
      <c r="G267" t="inlineStr">
        <is>
          <t>MUNKEDAL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46289</v>
      </c>
      <c r="F268" t="inlineStr">
        <is>
          <t>VÄSTRA GÖTALANDS LÄN</t>
        </is>
      </c>
      <c r="G268" t="inlineStr">
        <is>
          <t>MUNKEDAL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46289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46289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46289</v>
      </c>
      <c r="F271" t="inlineStr">
        <is>
          <t>VÄSTRA GÖTALANDS LÄN</t>
        </is>
      </c>
      <c r="G271" t="inlineStr">
        <is>
          <t>MUNKEDAL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44606</v>
      </c>
      <c r="E272" s="1" t="n">
        <v>46289</v>
      </c>
      <c r="F272" t="inlineStr">
        <is>
          <t>VÄSTRA GÖTALANDS LÄN</t>
        </is>
      </c>
      <c r="G272" t="inlineStr">
        <is>
          <t>MUNKEDAL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46289</v>
      </c>
      <c r="F273" t="inlineStr">
        <is>
          <t>VÄSTRA GÖTALANDS LÄN</t>
        </is>
      </c>
      <c r="G273" t="inlineStr">
        <is>
          <t>MUNKEDAL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46289</v>
      </c>
      <c r="F274" t="inlineStr">
        <is>
          <t>VÄSTRA GÖTALANDS LÄN</t>
        </is>
      </c>
      <c r="G274" t="inlineStr">
        <is>
          <t>MUNKEDAL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46289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46244</v>
      </c>
      <c r="E276" s="1" t="n">
        <v>46289</v>
      </c>
      <c r="F276" t="inlineStr">
        <is>
          <t>VÄSTRA GÖTALANDS LÄN</t>
        </is>
      </c>
      <c r="G276" t="inlineStr">
        <is>
          <t>MUNKEDAL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45084</v>
      </c>
      <c r="E277" s="1" t="n">
        <v>46289</v>
      </c>
      <c r="F277" t="inlineStr">
        <is>
          <t>VÄSTRA GÖTALANDS LÄN</t>
        </is>
      </c>
      <c r="G277" t="inlineStr">
        <is>
          <t>MUNKEDAL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46289</v>
      </c>
      <c r="F278" t="inlineStr">
        <is>
          <t>VÄSTRA GÖTALANDS LÄN</t>
        </is>
      </c>
      <c r="G278" t="inlineStr">
        <is>
          <t>MUNKEDAL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46289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46289</v>
      </c>
      <c r="F280" t="inlineStr">
        <is>
          <t>VÄSTRA GÖTALANDS LÄN</t>
        </is>
      </c>
      <c r="G280" t="inlineStr">
        <is>
          <t>MUNKEDAL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46289</v>
      </c>
      <c r="F281" t="inlineStr">
        <is>
          <t>VÄSTRA GÖTALANDS LÄN</t>
        </is>
      </c>
      <c r="G281" t="inlineStr">
        <is>
          <t>MUNKEDAL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34083-2025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46289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46091</v>
      </c>
      <c r="E283" s="1" t="n">
        <v>46289</v>
      </c>
      <c r="F283" t="inlineStr">
        <is>
          <t>VÄSTRA GÖTALANDS LÄN</t>
        </is>
      </c>
      <c r="G283" t="inlineStr">
        <is>
          <t>MUNKEDAL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46289</v>
      </c>
      <c r="F284" t="inlineStr">
        <is>
          <t>VÄSTRA GÖTALANDS LÄN</t>
        </is>
      </c>
      <c r="G284" t="inlineStr">
        <is>
          <t>MUNKEDAL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46289</v>
      </c>
      <c r="F285" t="inlineStr">
        <is>
          <t>VÄSTRA GÖTALANDS LÄN</t>
        </is>
      </c>
      <c r="G285" t="inlineStr">
        <is>
          <t>MUNKEDAL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46289</v>
      </c>
      <c r="F286" t="inlineStr">
        <is>
          <t>VÄSTRA GÖTALANDS LÄN</t>
        </is>
      </c>
      <c r="G286" t="inlineStr">
        <is>
          <t>MUNKEDAL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44937</v>
      </c>
      <c r="E287" s="1" t="n">
        <v>46289</v>
      </c>
      <c r="F287" t="inlineStr">
        <is>
          <t>VÄSTRA GÖTALANDS LÄN</t>
        </is>
      </c>
      <c r="G287" t="inlineStr">
        <is>
          <t>MUNKEDAL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46289</v>
      </c>
      <c r="F288" t="inlineStr">
        <is>
          <t>VÄSTRA GÖTALANDS LÄN</t>
        </is>
      </c>
      <c r="G288" t="inlineStr">
        <is>
          <t>MUNKEDAL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46289</v>
      </c>
      <c r="F289" t="inlineStr">
        <is>
          <t>VÄSTRA GÖTALANDS LÄN</t>
        </is>
      </c>
      <c r="G289" t="inlineStr">
        <is>
          <t>MUNKEDAL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45849</v>
      </c>
      <c r="E290" s="1" t="n">
        <v>46289</v>
      </c>
      <c r="F290" t="inlineStr">
        <is>
          <t>VÄSTRA GÖTALANDS LÄN</t>
        </is>
      </c>
      <c r="G290" t="inlineStr">
        <is>
          <t>MUNKEDAL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46289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45231</v>
      </c>
      <c r="E292" s="1" t="n">
        <v>46289</v>
      </c>
      <c r="F292" t="inlineStr">
        <is>
          <t>VÄSTRA GÖTALANDS LÄN</t>
        </is>
      </c>
      <c r="G292" t="inlineStr">
        <is>
          <t>MUNKEDAL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45049</v>
      </c>
      <c r="E293" s="1" t="n">
        <v>46289</v>
      </c>
      <c r="F293" t="inlineStr">
        <is>
          <t>VÄSTRA GÖTALANDS LÄN</t>
        </is>
      </c>
      <c r="G293" t="inlineStr">
        <is>
          <t>MUNKEDAL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46289</v>
      </c>
      <c r="F294" t="inlineStr">
        <is>
          <t>VÄSTRA GÖTALANDS LÄN</t>
        </is>
      </c>
      <c r="G294" t="inlineStr">
        <is>
          <t>MUNKEDAL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46289</v>
      </c>
      <c r="F295" t="inlineStr">
        <is>
          <t>VÄSTRA GÖTALANDS LÄN</t>
        </is>
      </c>
      <c r="G295" t="inlineStr">
        <is>
          <t>MUNKEDAL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46289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46289</v>
      </c>
      <c r="F297" t="inlineStr">
        <is>
          <t>VÄSTRA GÖTALANDS LÄN</t>
        </is>
      </c>
      <c r="G297" t="inlineStr">
        <is>
          <t>MUNKEDAL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46289</v>
      </c>
      <c r="F298" t="inlineStr">
        <is>
          <t>VÄSTRA GÖTALANDS LÄN</t>
        </is>
      </c>
      <c r="G298" t="inlineStr">
        <is>
          <t>MUNKEDAL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46289</v>
      </c>
      <c r="F299" t="inlineStr">
        <is>
          <t>VÄSTRA GÖTALANDS LÄN</t>
        </is>
      </c>
      <c r="G299" t="inlineStr">
        <is>
          <t>MUNKEDAL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46289</v>
      </c>
      <c r="F300" t="inlineStr">
        <is>
          <t>VÄSTRA GÖTALANDS LÄN</t>
        </is>
      </c>
      <c r="G300" t="inlineStr">
        <is>
          <t>MUNKEDAL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46289</v>
      </c>
      <c r="F301" t="inlineStr">
        <is>
          <t>VÄSTRA GÖTALANDS LÄN</t>
        </is>
      </c>
      <c r="G301" t="inlineStr">
        <is>
          <t>MUNKEDAL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46289</v>
      </c>
      <c r="F302" t="inlineStr">
        <is>
          <t>VÄSTRA GÖTALANDS LÄN</t>
        </is>
      </c>
      <c r="G302" t="inlineStr">
        <is>
          <t>MUNKEDAL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46289</v>
      </c>
      <c r="F303" t="inlineStr">
        <is>
          <t>VÄSTRA GÖTALANDS LÄN</t>
        </is>
      </c>
      <c r="G303" t="inlineStr">
        <is>
          <t>MUNKEDAL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46289</v>
      </c>
      <c r="F304" t="inlineStr">
        <is>
          <t>VÄSTRA GÖTALANDS LÄN</t>
        </is>
      </c>
      <c r="G304" t="inlineStr">
        <is>
          <t>MUNKEDAL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45618</v>
      </c>
      <c r="E305" s="1" t="n">
        <v>46289</v>
      </c>
      <c r="F305" t="inlineStr">
        <is>
          <t>VÄSTRA GÖTALANDS LÄN</t>
        </is>
      </c>
      <c r="G305" t="inlineStr">
        <is>
          <t>MUNKEDAL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46289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Naturvårdsverket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45111</v>
      </c>
      <c r="E307" s="1" t="n">
        <v>46289</v>
      </c>
      <c r="F307" t="inlineStr">
        <is>
          <t>VÄSTRA GÖTALANDS LÄN</t>
        </is>
      </c>
      <c r="G307" t="inlineStr">
        <is>
          <t>MUNKEDAL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45268</v>
      </c>
      <c r="E308" s="1" t="n">
        <v>46289</v>
      </c>
      <c r="F308" t="inlineStr">
        <is>
          <t>VÄSTRA GÖTALANDS LÄN</t>
        </is>
      </c>
      <c r="G308" t="inlineStr">
        <is>
          <t>MUNKEDAL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46289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44672</v>
      </c>
      <c r="E310" s="1" t="n">
        <v>46289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44946</v>
      </c>
      <c r="E311" s="1" t="n">
        <v>46289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46289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28393-2022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44747</v>
      </c>
      <c r="E313" s="1" t="n">
        <v>46289</v>
      </c>
      <c r="F313" t="inlineStr">
        <is>
          <t>VÄSTRA GÖTALANDS LÄN</t>
        </is>
      </c>
      <c r="G313" t="inlineStr">
        <is>
          <t>MUNKEDAL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46131</v>
      </c>
      <c r="E314" s="1" t="n">
        <v>46289</v>
      </c>
      <c r="F314" t="inlineStr">
        <is>
          <t>VÄSTRA GÖTALANDS LÄN</t>
        </is>
      </c>
      <c r="G314" t="inlineStr">
        <is>
          <t>MUNKEDAL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45488</v>
      </c>
      <c r="E315" s="1" t="n">
        <v>46289</v>
      </c>
      <c r="F315" t="inlineStr">
        <is>
          <t>VÄSTRA GÖTALANDS LÄN</t>
        </is>
      </c>
      <c r="G315" t="inlineStr">
        <is>
          <t>MUNKEDAL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45351</v>
      </c>
      <c r="E316" s="1" t="n">
        <v>46289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46289</v>
      </c>
      <c r="F317" t="inlineStr">
        <is>
          <t>VÄSTRA GÖTALANDS LÄN</t>
        </is>
      </c>
      <c r="G317" t="inlineStr">
        <is>
          <t>MUNKEDAL</t>
        </is>
      </c>
      <c r="I317" t="n">
        <v>20.2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46289</v>
      </c>
      <c r="F318" t="inlineStr">
        <is>
          <t>VÄSTRA GÖTALANDS LÄN</t>
        </is>
      </c>
      <c r="G318" t="inlineStr">
        <is>
          <t>MUNKEDAL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46289</v>
      </c>
      <c r="F319" t="inlineStr">
        <is>
          <t>VÄSTRA GÖTALANDS LÄN</t>
        </is>
      </c>
      <c r="G319" t="inlineStr">
        <is>
          <t>MUNKEDAL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45456</v>
      </c>
      <c r="E320" s="1" t="n">
        <v>46289</v>
      </c>
      <c r="F320" t="inlineStr">
        <is>
          <t>VÄSTRA GÖTALANDS LÄN</t>
        </is>
      </c>
      <c r="G320" t="inlineStr">
        <is>
          <t>MUNKEDAL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18280-2026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46289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46289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46289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45540</v>
      </c>
      <c r="E324" s="1" t="n">
        <v>46289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29588-2024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46289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46289</v>
      </c>
      <c r="F326" t="inlineStr">
        <is>
          <t>VÄSTRA GÖTALANDS LÄN</t>
        </is>
      </c>
      <c r="G326" t="inlineStr">
        <is>
          <t>MUNKEDAL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45709</v>
      </c>
      <c r="E327" s="1" t="n">
        <v>46289</v>
      </c>
      <c r="F327" t="inlineStr">
        <is>
          <t>VÄSTRA GÖTALANDS LÄN</t>
        </is>
      </c>
      <c r="G327" t="inlineStr">
        <is>
          <t>MUNKEDAL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45881</v>
      </c>
      <c r="E328" s="1" t="n">
        <v>46289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45120</v>
      </c>
      <c r="E329" s="1" t="n">
        <v>46289</v>
      </c>
      <c r="F329" t="inlineStr">
        <is>
          <t>VÄSTRA GÖTALANDS LÄN</t>
        </is>
      </c>
      <c r="G329" t="inlineStr">
        <is>
          <t>MUNKEDAL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46289</v>
      </c>
      <c r="F330" t="inlineStr">
        <is>
          <t>VÄSTRA GÖTALANDS LÄN</t>
        </is>
      </c>
      <c r="G330" t="inlineStr">
        <is>
          <t>MUNKEDAL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46289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46289</v>
      </c>
      <c r="F332" t="inlineStr">
        <is>
          <t>VÄSTRA GÖTALANDS LÄN</t>
        </is>
      </c>
      <c r="G332" t="inlineStr">
        <is>
          <t>MUNKEDAL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46289</v>
      </c>
      <c r="F333" t="inlineStr">
        <is>
          <t>VÄSTRA GÖTALANDS LÄN</t>
        </is>
      </c>
      <c r="G333" t="inlineStr">
        <is>
          <t>MUNKEDAL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45388</v>
      </c>
      <c r="E334" s="1" t="n">
        <v>46289</v>
      </c>
      <c r="F334" t="inlineStr">
        <is>
          <t>VÄSTRA GÖTALANDS LÄN</t>
        </is>
      </c>
      <c r="G334" t="inlineStr">
        <is>
          <t>MUNKEDAL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46289</v>
      </c>
      <c r="F335" t="inlineStr">
        <is>
          <t>VÄSTRA GÖTALANDS LÄN</t>
        </is>
      </c>
      <c r="G335" t="inlineStr">
        <is>
          <t>MUNKEDAL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46289</v>
      </c>
      <c r="F336" t="inlineStr">
        <is>
          <t>VÄSTRA GÖTALANDS LÄN</t>
        </is>
      </c>
      <c r="G336" t="inlineStr">
        <is>
          <t>MUNKEDAL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46289</v>
      </c>
      <c r="F337" t="inlineStr">
        <is>
          <t>VÄSTRA GÖTALANDS LÄN</t>
        </is>
      </c>
      <c r="G337" t="inlineStr">
        <is>
          <t>MUNKEDAL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46289</v>
      </c>
      <c r="F338" t="inlineStr">
        <is>
          <t>VÄSTRA GÖTALANDS LÄN</t>
        </is>
      </c>
      <c r="G338" t="inlineStr">
        <is>
          <t>MUNKEDAL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21625-2023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46289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44630</v>
      </c>
      <c r="E340" s="1" t="n">
        <v>46289</v>
      </c>
      <c r="F340" t="inlineStr">
        <is>
          <t>VÄSTRA GÖTALANDS LÄN</t>
        </is>
      </c>
      <c r="G340" t="inlineStr">
        <is>
          <t>MUNKEDAL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45620</v>
      </c>
      <c r="E341" s="1" t="n">
        <v>46289</v>
      </c>
      <c r="F341" t="inlineStr">
        <is>
          <t>VÄSTRA GÖTALANDS LÄN</t>
        </is>
      </c>
      <c r="G341" t="inlineStr">
        <is>
          <t>MUNKEDAL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45072</v>
      </c>
      <c r="E342" s="1" t="n">
        <v>46289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Kommuner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45674</v>
      </c>
      <c r="E343" s="1" t="n">
        <v>46289</v>
      </c>
      <c r="F343" t="inlineStr">
        <is>
          <t>VÄSTRA GÖTALANDS LÄN</t>
        </is>
      </c>
      <c r="G343" t="inlineStr">
        <is>
          <t>MUNKEDAL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54760-2024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45618</v>
      </c>
      <c r="E344" s="1" t="n">
        <v>46289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45540</v>
      </c>
      <c r="E345" s="1" t="n">
        <v>46289</v>
      </c>
      <c r="F345" t="inlineStr">
        <is>
          <t>VÄSTRA GÖTALANDS LÄN</t>
        </is>
      </c>
      <c r="G345" t="inlineStr">
        <is>
          <t>MUNKEDAL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46289</v>
      </c>
      <c r="F346" t="inlineStr">
        <is>
          <t>VÄSTRA GÖTALANDS LÄN</t>
        </is>
      </c>
      <c r="G346" t="inlineStr">
        <is>
          <t>MUNKEDAL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44920</v>
      </c>
      <c r="E347" s="1" t="n">
        <v>46289</v>
      </c>
      <c r="F347" t="inlineStr">
        <is>
          <t>VÄSTRA GÖTALANDS LÄN</t>
        </is>
      </c>
      <c r="G347" t="inlineStr">
        <is>
          <t>MUNKEDAL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44920</v>
      </c>
      <c r="E348" s="1" t="n">
        <v>46289</v>
      </c>
      <c r="F348" t="inlineStr">
        <is>
          <t>VÄSTRA GÖTALANDS LÄN</t>
        </is>
      </c>
      <c r="G348" t="inlineStr">
        <is>
          <t>MUNKEDAL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46289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Kyrkan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46289</v>
      </c>
      <c r="F350" t="inlineStr">
        <is>
          <t>VÄSTRA GÖTALANDS LÄN</t>
        </is>
      </c>
      <c r="G350" t="inlineStr">
        <is>
          <t>MUNKEDAL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46289</v>
      </c>
      <c r="F351" t="inlineStr">
        <is>
          <t>VÄSTRA GÖTALANDS LÄN</t>
        </is>
      </c>
      <c r="G351" t="inlineStr">
        <is>
          <t>MUNKEDAL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46289</v>
      </c>
      <c r="F352" t="inlineStr">
        <is>
          <t>VÄSTRA GÖTALANDS LÄN</t>
        </is>
      </c>
      <c r="G352" t="inlineStr">
        <is>
          <t>MUNKEDAL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46289</v>
      </c>
      <c r="F353" t="inlineStr">
        <is>
          <t>VÄSTRA GÖTALANDS LÄN</t>
        </is>
      </c>
      <c r="G353" t="inlineStr">
        <is>
          <t>MUNKEDAL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46289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Kommuner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45306</v>
      </c>
      <c r="E355" s="1" t="n">
        <v>46289</v>
      </c>
      <c r="F355" t="inlineStr">
        <is>
          <t>VÄSTRA GÖTALANDS LÄN</t>
        </is>
      </c>
      <c r="G355" t="inlineStr">
        <is>
          <t>MUNKEDAL</t>
        </is>
      </c>
      <c r="I355" t="n">
        <v>25.2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45684</v>
      </c>
      <c r="E356" s="1" t="n">
        <v>46289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Kommuner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46289</v>
      </c>
      <c r="F357" t="inlineStr">
        <is>
          <t>VÄSTRA GÖTALANDS LÄN</t>
        </is>
      </c>
      <c r="G357" t="inlineStr">
        <is>
          <t>MUNKEDAL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45215</v>
      </c>
      <c r="E358" s="1" t="n">
        <v>46289</v>
      </c>
      <c r="F358" t="inlineStr">
        <is>
          <t>VÄSTRA GÖTALANDS LÄN</t>
        </is>
      </c>
      <c r="G358" t="inlineStr">
        <is>
          <t>MUNKEDAL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45667</v>
      </c>
      <c r="E359" s="1" t="n">
        <v>46289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20251-2022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46289</v>
      </c>
      <c r="F360" t="inlineStr">
        <is>
          <t>VÄSTRA GÖTALANDS LÄN</t>
        </is>
      </c>
      <c r="G360" t="inlineStr">
        <is>
          <t>MUNKEDAL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45777</v>
      </c>
      <c r="E361" s="1" t="n">
        <v>46289</v>
      </c>
      <c r="F361" t="inlineStr">
        <is>
          <t>VÄSTRA GÖTALANDS LÄN</t>
        </is>
      </c>
      <c r="G361" t="inlineStr">
        <is>
          <t>MUNKEDAL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46289</v>
      </c>
      <c r="F362" t="inlineStr">
        <is>
          <t>VÄSTRA GÖTALANDS LÄN</t>
        </is>
      </c>
      <c r="G362" t="inlineStr">
        <is>
          <t>MUNKEDAL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45778</v>
      </c>
      <c r="E363" s="1" t="n">
        <v>46289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46289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45784</v>
      </c>
      <c r="E365" s="1" t="n">
        <v>46289</v>
      </c>
      <c r="F365" t="inlineStr">
        <is>
          <t>VÄSTRA GÖTALANDS LÄN</t>
        </is>
      </c>
      <c r="G365" t="inlineStr">
        <is>
          <t>MUNKEDAL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45784</v>
      </c>
      <c r="E366" s="1" t="n">
        <v>46289</v>
      </c>
      <c r="F366" t="inlineStr">
        <is>
          <t>VÄSTRA GÖTALANDS LÄN</t>
        </is>
      </c>
      <c r="G366" t="inlineStr">
        <is>
          <t>MUNKEDAL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46289</v>
      </c>
      <c r="F367" t="inlineStr">
        <is>
          <t>VÄSTRA GÖTALANDS LÄN</t>
        </is>
      </c>
      <c r="G367" t="inlineStr">
        <is>
          <t>MUNKEDAL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46289</v>
      </c>
      <c r="F368" t="inlineStr">
        <is>
          <t>VÄSTRA GÖTALANDS LÄN</t>
        </is>
      </c>
      <c r="G368" t="inlineStr">
        <is>
          <t>MUNKEDAL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29515-2026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46289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statliga verk och myndigheter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46289</v>
      </c>
      <c r="F370" t="inlineStr">
        <is>
          <t>VÄSTRA GÖTALANDS LÄN</t>
        </is>
      </c>
      <c r="G370" t="inlineStr">
        <is>
          <t>MUNKEDAL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46289</v>
      </c>
      <c r="F371" t="inlineStr">
        <is>
          <t>VÄSTRA GÖTALANDS LÄN</t>
        </is>
      </c>
      <c r="G371" t="inlineStr">
        <is>
          <t>MUNKEDAL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45174</v>
      </c>
      <c r="E372" s="1" t="n">
        <v>46289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Kyrkan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46169</v>
      </c>
      <c r="E373" s="1" t="n">
        <v>46289</v>
      </c>
      <c r="F373" t="inlineStr">
        <is>
          <t>VÄSTRA GÖTALANDS LÄN</t>
        </is>
      </c>
      <c r="G373" t="inlineStr">
        <is>
          <t>MUNKEDAL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46289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46289</v>
      </c>
      <c r="F375" t="inlineStr">
        <is>
          <t>VÄSTRA GÖTALANDS LÄN</t>
        </is>
      </c>
      <c r="G375" t="inlineStr">
        <is>
          <t>MUNKEDAL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46289</v>
      </c>
      <c r="F376" t="inlineStr">
        <is>
          <t>VÄSTRA GÖTALANDS LÄN</t>
        </is>
      </c>
      <c r="G376" t="inlineStr">
        <is>
          <t>MUNKEDAL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44812</v>
      </c>
      <c r="E377" s="1" t="n">
        <v>46289</v>
      </c>
      <c r="F377" t="inlineStr">
        <is>
          <t>VÄSTRA GÖTALANDS LÄN</t>
        </is>
      </c>
      <c r="G377" t="inlineStr">
        <is>
          <t>MUNKEDAL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46289</v>
      </c>
      <c r="F378" t="inlineStr">
        <is>
          <t>VÄSTRA GÖTALANDS LÄN</t>
        </is>
      </c>
      <c r="G378" t="inlineStr">
        <is>
          <t>MUNKEDAL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46289</v>
      </c>
      <c r="F379" t="inlineStr">
        <is>
          <t>VÄSTRA GÖTALANDS LÄN</t>
        </is>
      </c>
      <c r="G379" t="inlineStr">
        <is>
          <t>MUNKEDAL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46202</v>
      </c>
      <c r="E380" s="1" t="n">
        <v>46289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46289</v>
      </c>
      <c r="F381" t="inlineStr">
        <is>
          <t>VÄSTRA GÖTALANDS LÄN</t>
        </is>
      </c>
      <c r="G381" t="inlineStr">
        <is>
          <t>MUNKEDAL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46247</v>
      </c>
      <c r="E382" s="1" t="n">
        <v>46289</v>
      </c>
      <c r="F382" t="inlineStr">
        <is>
          <t>VÄSTRA GÖTALANDS LÄN</t>
        </is>
      </c>
      <c r="G382" t="inlineStr">
        <is>
          <t>MUNKEDAL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46247</v>
      </c>
      <c r="E383" s="1" t="n">
        <v>46289</v>
      </c>
      <c r="F383" t="inlineStr">
        <is>
          <t>VÄSTRA GÖTALANDS LÄN</t>
        </is>
      </c>
      <c r="G383" t="inlineStr">
        <is>
          <t>MUNKEDAL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46185</v>
      </c>
      <c r="E384" s="1" t="n">
        <v>46289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46289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46289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46209</v>
      </c>
      <c r="E387" s="1" t="n">
        <v>46289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16.7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46289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34288-2026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46253</v>
      </c>
      <c r="E389" s="1" t="n">
        <v>46289</v>
      </c>
      <c r="F389" t="inlineStr">
        <is>
          <t>VÄSTRA GÖTALANDS LÄN</t>
        </is>
      </c>
      <c r="G389" t="inlineStr">
        <is>
          <t>MUNKEDAL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46289</v>
      </c>
      <c r="F390" t="inlineStr">
        <is>
          <t>VÄSTRA GÖTALANDS LÄN</t>
        </is>
      </c>
      <c r="G390" t="inlineStr">
        <is>
          <t>MUNKEDAL</t>
        </is>
      </c>
      <c r="I390" t="n">
        <v>11.6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46289</v>
      </c>
      <c r="F391" t="inlineStr">
        <is>
          <t>VÄSTRA GÖTALANDS LÄN</t>
        </is>
      </c>
      <c r="G391" t="inlineStr">
        <is>
          <t>MUNKEDAL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46289</v>
      </c>
      <c r="F392" t="inlineStr">
        <is>
          <t>VÄSTRA GÖTALANDS LÄN</t>
        </is>
      </c>
      <c r="G392" t="inlineStr">
        <is>
          <t>MUNKEDAL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46289</v>
      </c>
      <c r="F393" t="inlineStr">
        <is>
          <t>VÄSTRA GÖTALANDS LÄN</t>
        </is>
      </c>
      <c r="G393" t="inlineStr">
        <is>
          <t>MUNKEDAL</t>
        </is>
      </c>
      <c r="I393" t="n">
        <v>11.6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46289</v>
      </c>
      <c r="F394" t="inlineStr">
        <is>
          <t>VÄSTRA GÖTALANDS LÄN</t>
        </is>
      </c>
      <c r="G394" t="inlineStr">
        <is>
          <t>MUNKEDAL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46289</v>
      </c>
      <c r="F395" t="inlineStr">
        <is>
          <t>VÄSTRA GÖTALANDS LÄN</t>
        </is>
      </c>
      <c r="G395" t="inlineStr">
        <is>
          <t>MUNKEDAL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46289</v>
      </c>
      <c r="F396" t="inlineStr">
        <is>
          <t>VÄSTRA GÖTALANDS LÄN</t>
        </is>
      </c>
      <c r="G396" t="inlineStr">
        <is>
          <t>MUNKEDAL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46217</v>
      </c>
      <c r="E397" s="1" t="n">
        <v>46289</v>
      </c>
      <c r="F397" t="inlineStr">
        <is>
          <t>VÄSTRA GÖTALANDS LÄN</t>
        </is>
      </c>
      <c r="G397" t="inlineStr">
        <is>
          <t>MUNKEDAL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31243-2026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46217</v>
      </c>
      <c r="E398" s="1" t="n">
        <v>46289</v>
      </c>
      <c r="F398" t="inlineStr">
        <is>
          <t>VÄSTRA GÖTALANDS LÄN</t>
        </is>
      </c>
      <c r="G398" t="inlineStr">
        <is>
          <t>MUNKEDAL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46267</v>
      </c>
      <c r="E399" s="1" t="n">
        <v>46289</v>
      </c>
      <c r="F399" t="inlineStr">
        <is>
          <t>VÄSTRA GÖTALANDS LÄN</t>
        </is>
      </c>
      <c r="G399" t="inlineStr">
        <is>
          <t>MUNKEDAL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46267</v>
      </c>
      <c r="E400" s="1" t="n">
        <v>46289</v>
      </c>
      <c r="F400" t="inlineStr">
        <is>
          <t>VÄSTRA GÖTALANDS LÄN</t>
        </is>
      </c>
      <c r="G400" t="inlineStr">
        <is>
          <t>MUNKEDAL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46272</v>
      </c>
      <c r="E401" s="1" t="n">
        <v>46289</v>
      </c>
      <c r="F401" t="inlineStr">
        <is>
          <t>VÄSTRA GÖTALANDS LÄN</t>
        </is>
      </c>
      <c r="G401" t="inlineStr">
        <is>
          <t>MUNKEDAL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37248-2026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46274</v>
      </c>
      <c r="E402" s="1" t="n">
        <v>46289</v>
      </c>
      <c r="F402" t="inlineStr">
        <is>
          <t>VÄSTRA GÖTALANDS LÄN</t>
        </is>
      </c>
      <c r="G402" t="inlineStr">
        <is>
          <t>MUNKEDAL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46274</v>
      </c>
      <c r="E403" s="1" t="n">
        <v>46289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46273</v>
      </c>
      <c r="E404" s="1" t="n">
        <v>46289</v>
      </c>
      <c r="F404" t="inlineStr">
        <is>
          <t>VÄSTRA GÖTALANDS LÄN</t>
        </is>
      </c>
      <c r="G404" t="inlineStr">
        <is>
          <t>MUNKEDAL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46279</v>
      </c>
      <c r="E405" s="1" t="n">
        <v>46289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32538-2026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46239</v>
      </c>
      <c r="E406" s="1" t="n">
        <v>46289</v>
      </c>
      <c r="F406" t="inlineStr">
        <is>
          <t>VÄSTRA GÖTALANDS LÄN</t>
        </is>
      </c>
      <c r="G406" t="inlineStr">
        <is>
          <t>MUNKEDAL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46289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46289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46289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46289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46289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2026-09-24T01:54:09Z</dcterms:created>
  <dcterms:modified xmlns:dcterms="http://purl.org/dc/terms/" xmlns:xsi="http://www.w3.org/2001/XMLSchema-instance" xsi:type="dcterms:W3CDTF">2026-09-24T01:54:09Z</dcterms:modified>
</cp:coreProperties>
</file>