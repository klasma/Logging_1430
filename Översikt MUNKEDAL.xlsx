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45276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45276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1067-2020</t>
        </is>
      </c>
      <c r="B4" s="1" t="n">
        <v>43819</v>
      </c>
      <c r="C4" s="1" t="n">
        <v>45276</v>
      </c>
      <c r="D4" t="inlineStr">
        <is>
          <t>VÄSTRA GÖTALANDS LÄN</t>
        </is>
      </c>
      <c r="E4" t="inlineStr">
        <is>
          <t>MUNKEDAL</t>
        </is>
      </c>
      <c r="G4" t="n">
        <v>7.2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Klippfrullania
Blåsippa</t>
        </is>
      </c>
      <c r="S4">
        <f>HYPERLINK("https://klasma.github.io/Logging_1430/artfynd/A 1067-2020 artfynd.xlsx", "A 1067-2020")</f>
        <v/>
      </c>
      <c r="T4">
        <f>HYPERLINK("https://klasma.github.io/Logging_1430/kartor/A 1067-2020 karta.png", "A 1067-2020")</f>
        <v/>
      </c>
      <c r="V4">
        <f>HYPERLINK("https://klasma.github.io/Logging_1430/klagomål/A 1067-2020 FSC-klagomål.docx", "A 1067-2020")</f>
        <v/>
      </c>
      <c r="W4">
        <f>HYPERLINK("https://klasma.github.io/Logging_1430/klagomålsmail/A 1067-2020 FSC-klagomål mail.docx", "A 1067-2020")</f>
        <v/>
      </c>
      <c r="X4">
        <f>HYPERLINK("https://klasma.github.io/Logging_1430/tillsyn/A 1067-2020 tillsynsbegäran.docx", "A 1067-2020")</f>
        <v/>
      </c>
      <c r="Y4">
        <f>HYPERLINK("https://klasma.github.io/Logging_1430/tillsynsmail/A 1067-2020 tillsynsbegäran mail.docx", "A 1067-2020")</f>
        <v/>
      </c>
    </row>
    <row r="5" ht="15" customHeight="1">
      <c r="A5" t="inlineStr">
        <is>
          <t>A 5516-2020</t>
        </is>
      </c>
      <c r="B5" s="1" t="n">
        <v>43858</v>
      </c>
      <c r="C5" s="1" t="n">
        <v>45276</v>
      </c>
      <c r="D5" t="inlineStr">
        <is>
          <t>VÄSTRA GÖTALANDS LÄN</t>
        </is>
      </c>
      <c r="E5" t="inlineStr">
        <is>
          <t>MUNKEDAL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Barkkornlav
Fällmossa
Klippfrullania</t>
        </is>
      </c>
      <c r="S5">
        <f>HYPERLINK("https://klasma.github.io/Logging_1430/artfynd/A 5516-2020 artfynd.xlsx", "A 5516-2020")</f>
        <v/>
      </c>
      <c r="T5">
        <f>HYPERLINK("https://klasma.github.io/Logging_1430/kartor/A 5516-2020 karta.png", "A 5516-2020")</f>
        <v/>
      </c>
      <c r="V5">
        <f>HYPERLINK("https://klasma.github.io/Logging_1430/klagomål/A 5516-2020 FSC-klagomål.docx", "A 5516-2020")</f>
        <v/>
      </c>
      <c r="W5">
        <f>HYPERLINK("https://klasma.github.io/Logging_1430/klagomålsmail/A 5516-2020 FSC-klagomål mail.docx", "A 5516-2020")</f>
        <v/>
      </c>
      <c r="X5">
        <f>HYPERLINK("https://klasma.github.io/Logging_1430/tillsyn/A 5516-2020 tillsynsbegäran.docx", "A 5516-2020")</f>
        <v/>
      </c>
      <c r="Y5">
        <f>HYPERLINK("https://klasma.github.io/Logging_1430/tillsynsmail/A 5516-2020 tillsynsbegäran mail.docx", "A 5516-2020")</f>
        <v/>
      </c>
    </row>
    <row r="6" ht="15" customHeight="1">
      <c r="A6" t="inlineStr">
        <is>
          <t>A 5490-2020</t>
        </is>
      </c>
      <c r="B6" s="1" t="n">
        <v>43858</v>
      </c>
      <c r="C6" s="1" t="n">
        <v>45276</v>
      </c>
      <c r="D6" t="inlineStr">
        <is>
          <t>VÄSTRA GÖTALANDS LÄN</t>
        </is>
      </c>
      <c r="E6" t="inlineStr">
        <is>
          <t>MUNKEDAL</t>
        </is>
      </c>
      <c r="G6" t="n">
        <v>4.2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5490-2020 artfynd.xlsx", "A 5490-2020")</f>
        <v/>
      </c>
      <c r="T6">
        <f>HYPERLINK("https://klasma.github.io/Logging_1430/kartor/A 5490-2020 karta.png", "A 5490-2020")</f>
        <v/>
      </c>
      <c r="V6">
        <f>HYPERLINK("https://klasma.github.io/Logging_1430/klagomål/A 5490-2020 FSC-klagomål.docx", "A 5490-2020")</f>
        <v/>
      </c>
      <c r="W6">
        <f>HYPERLINK("https://klasma.github.io/Logging_1430/klagomålsmail/A 5490-2020 FSC-klagomål mail.docx", "A 5490-2020")</f>
        <v/>
      </c>
      <c r="X6">
        <f>HYPERLINK("https://klasma.github.io/Logging_1430/tillsyn/A 5490-2020 tillsynsbegäran.docx", "A 5490-2020")</f>
        <v/>
      </c>
      <c r="Y6">
        <f>HYPERLINK("https://klasma.github.io/Logging_1430/tillsynsmail/A 5490-2020 tillsynsbegäran mail.docx", "A 5490-2020")</f>
        <v/>
      </c>
    </row>
    <row r="7" ht="15" customHeight="1">
      <c r="A7" t="inlineStr">
        <is>
          <t>A 41077-2019</t>
        </is>
      </c>
      <c r="B7" s="1" t="n">
        <v>43695</v>
      </c>
      <c r="C7" s="1" t="n">
        <v>45276</v>
      </c>
      <c r="D7" t="inlineStr">
        <is>
          <t>VÄSTRA GÖTALANDS LÄN</t>
        </is>
      </c>
      <c r="E7" t="inlineStr">
        <is>
          <t>MUNKEDAL</t>
        </is>
      </c>
      <c r="G7" t="n">
        <v>32.2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HYPERLINK("https://klasma.github.io/Logging_1430/artfynd/A 41077-2019 artfynd.xlsx", "A 41077-2019")</f>
        <v/>
      </c>
      <c r="T7">
        <f>HYPERLINK("https://klasma.github.io/Logging_1430/kartor/A 41077-2019 karta.png", "A 41077-2019")</f>
        <v/>
      </c>
      <c r="V7">
        <f>HYPERLINK("https://klasma.github.io/Logging_1430/klagomål/A 41077-2019 FSC-klagomål.docx", "A 41077-2019")</f>
        <v/>
      </c>
      <c r="W7">
        <f>HYPERLINK("https://klasma.github.io/Logging_1430/klagomålsmail/A 41077-2019 FSC-klagomål mail.docx", "A 41077-2019")</f>
        <v/>
      </c>
      <c r="X7">
        <f>HYPERLINK("https://klasma.github.io/Logging_1430/tillsyn/A 41077-2019 tillsynsbegäran.docx", "A 41077-2019")</f>
        <v/>
      </c>
      <c r="Y7">
        <f>HYPERLINK("https://klasma.github.io/Logging_1430/tillsynsmail/A 41077-2019 tillsynsbegäran mail.docx", "A 41077-2019")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45276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45276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45276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45276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26286-2022</t>
        </is>
      </c>
      <c r="B12" s="1" t="n">
        <v>44735</v>
      </c>
      <c r="C12" s="1" t="n">
        <v>45276</v>
      </c>
      <c r="D12" t="inlineStr">
        <is>
          <t>VÄSTRA GÖTALANDS LÄN</t>
        </is>
      </c>
      <c r="E12" t="inlineStr">
        <is>
          <t>MUNKEDAL</t>
        </is>
      </c>
      <c r="F12" t="inlineStr">
        <is>
          <t>Övriga Aktiebolag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Skogsalm
Skogssvingel</t>
        </is>
      </c>
      <c r="S12">
        <f>HYPERLINK("https://klasma.github.io/Logging_1430/artfynd/A 26286-2022 artfynd.xlsx", "A 26286-2022")</f>
        <v/>
      </c>
      <c r="T12">
        <f>HYPERLINK("https://klasma.github.io/Logging_1430/kartor/A 26286-2022 karta.png", "A 26286-2022")</f>
        <v/>
      </c>
      <c r="V12">
        <f>HYPERLINK("https://klasma.github.io/Logging_1430/klagomål/A 26286-2022 FSC-klagomål.docx", "A 26286-2022")</f>
        <v/>
      </c>
      <c r="W12">
        <f>HYPERLINK("https://klasma.github.io/Logging_1430/klagomålsmail/A 26286-2022 FSC-klagomål mail.docx", "A 26286-2022")</f>
        <v/>
      </c>
      <c r="X12">
        <f>HYPERLINK("https://klasma.github.io/Logging_1430/tillsyn/A 26286-2022 tillsynsbegäran.docx", "A 26286-2022")</f>
        <v/>
      </c>
      <c r="Y12">
        <f>HYPERLINK("https://klasma.github.io/Logging_1430/tillsynsmail/A 26286-2022 tillsynsbegäran mail.docx", "A 26286-2022")</f>
        <v/>
      </c>
    </row>
    <row r="13" ht="15" customHeight="1">
      <c r="A13" t="inlineStr">
        <is>
          <t>A 39812-2022</t>
        </is>
      </c>
      <c r="B13" s="1" t="n">
        <v>44817</v>
      </c>
      <c r="C13" s="1" t="n">
        <v>45276</v>
      </c>
      <c r="D13" t="inlineStr">
        <is>
          <t>VÄSTRA GÖTALANDS LÄN</t>
        </is>
      </c>
      <c r="E13" t="inlineStr">
        <is>
          <t>MUNKEDAL</t>
        </is>
      </c>
      <c r="G13" t="n">
        <v>5.2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HYPERLINK("https://klasma.github.io/Logging_1430/artfynd/A 39812-2022 artfynd.xlsx", "A 39812-2022")</f>
        <v/>
      </c>
      <c r="T13">
        <f>HYPERLINK("https://klasma.github.io/Logging_1430/kartor/A 39812-2022 karta.png", "A 39812-2022")</f>
        <v/>
      </c>
      <c r="V13">
        <f>HYPERLINK("https://klasma.github.io/Logging_1430/klagomål/A 39812-2022 FSC-klagomål.docx", "A 39812-2022")</f>
        <v/>
      </c>
      <c r="W13">
        <f>HYPERLINK("https://klasma.github.io/Logging_1430/klagomålsmail/A 39812-2022 FSC-klagomål mail.docx", "A 39812-2022")</f>
        <v/>
      </c>
      <c r="X13">
        <f>HYPERLINK("https://klasma.github.io/Logging_1430/tillsyn/A 39812-2022 tillsynsbegäran.docx", "A 39812-2022")</f>
        <v/>
      </c>
      <c r="Y13">
        <f>HYPERLINK("https://klasma.github.io/Logging_1430/tillsynsmail/A 39812-2022 tillsynsbegäran mail.docx", "A 39812-2022")</f>
        <v/>
      </c>
    </row>
    <row r="14" ht="15" customHeight="1">
      <c r="A14" t="inlineStr">
        <is>
          <t>A 58890-2022</t>
        </is>
      </c>
      <c r="B14" s="1" t="n">
        <v>44903</v>
      </c>
      <c r="C14" s="1" t="n">
        <v>45276</v>
      </c>
      <c r="D14" t="inlineStr">
        <is>
          <t>VÄSTRA GÖTALANDS LÄN</t>
        </is>
      </c>
      <c r="E14" t="inlineStr">
        <is>
          <t>MUNKEDAL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 taggsvamp
Stor revmossa</t>
        </is>
      </c>
      <c r="S14">
        <f>HYPERLINK("https://klasma.github.io/Logging_1430/artfynd/A 58890-2022 artfynd.xlsx", "A 58890-2022")</f>
        <v/>
      </c>
      <c r="T14">
        <f>HYPERLINK("https://klasma.github.io/Logging_1430/kartor/A 58890-2022 karta.png", "A 58890-2022")</f>
        <v/>
      </c>
      <c r="V14">
        <f>HYPERLINK("https://klasma.github.io/Logging_1430/klagomål/A 58890-2022 FSC-klagomål.docx", "A 58890-2022")</f>
        <v/>
      </c>
      <c r="W14">
        <f>HYPERLINK("https://klasma.github.io/Logging_1430/klagomålsmail/A 58890-2022 FSC-klagomål mail.docx", "A 58890-2022")</f>
        <v/>
      </c>
      <c r="X14">
        <f>HYPERLINK("https://klasma.github.io/Logging_1430/tillsyn/A 58890-2022 tillsynsbegäran.docx", "A 58890-2022")</f>
        <v/>
      </c>
      <c r="Y14">
        <f>HYPERLINK("https://klasma.github.io/Logging_1430/tillsynsmail/A 58890-2022 tillsynsbegäran mail.docx", "A 58890-2022")</f>
        <v/>
      </c>
    </row>
    <row r="15" ht="15" customHeight="1">
      <c r="A15" t="inlineStr">
        <is>
          <t>A 36898-2023</t>
        </is>
      </c>
      <c r="B15" s="1" t="n">
        <v>45154</v>
      </c>
      <c r="C15" s="1" t="n">
        <v>45276</v>
      </c>
      <c r="D15" t="inlineStr">
        <is>
          <t>VÄSTRA GÖTALANDS LÄN</t>
        </is>
      </c>
      <c r="E15" t="inlineStr">
        <is>
          <t>MUNKEDAL</t>
        </is>
      </c>
      <c r="G15" t="n">
        <v>34.3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HYPERLINK("https://klasma.github.io/Logging_1430/artfynd/A 36898-2023 artfynd.xlsx", "A 36898-2023")</f>
        <v/>
      </c>
      <c r="T15">
        <f>HYPERLINK("https://klasma.github.io/Logging_1430/kartor/A 36898-2023 karta.png", "A 36898-2023")</f>
        <v/>
      </c>
      <c r="V15">
        <f>HYPERLINK("https://klasma.github.io/Logging_1430/klagomål/A 36898-2023 FSC-klagomål.docx", "A 36898-2023")</f>
        <v/>
      </c>
      <c r="W15">
        <f>HYPERLINK("https://klasma.github.io/Logging_1430/klagomålsmail/A 36898-2023 FSC-klagomål mail.docx", "A 36898-2023")</f>
        <v/>
      </c>
      <c r="X15">
        <f>HYPERLINK("https://klasma.github.io/Logging_1430/tillsyn/A 36898-2023 tillsynsbegäran.docx", "A 36898-2023")</f>
        <v/>
      </c>
      <c r="Y15">
        <f>HYPERLINK("https://klasma.github.io/Logging_1430/tillsynsmail/A 36898-2023 tillsynsbegäran mail.docx", "A 36898-2023")</f>
        <v/>
      </c>
    </row>
    <row r="16" ht="15" customHeight="1">
      <c r="A16" t="inlineStr">
        <is>
          <t>A 18784-2019</t>
        </is>
      </c>
      <c r="B16" s="1" t="n">
        <v>43562</v>
      </c>
      <c r="C16" s="1" t="n">
        <v>45276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HYPERLINK("https://klasma.github.io/Logging_1430/artfynd/A 18784-2019 artfynd.xlsx", "A 18784-2019")</f>
        <v/>
      </c>
      <c r="T16">
        <f>HYPERLINK("https://klasma.github.io/Logging_1430/kartor/A 18784-2019 karta.png", "A 18784-2019")</f>
        <v/>
      </c>
      <c r="V16">
        <f>HYPERLINK("https://klasma.github.io/Logging_1430/klagomål/A 18784-2019 FSC-klagomål.docx", "A 18784-2019")</f>
        <v/>
      </c>
      <c r="W16">
        <f>HYPERLINK("https://klasma.github.io/Logging_1430/klagomålsmail/A 18784-2019 FSC-klagomål mail.docx", "A 18784-2019")</f>
        <v/>
      </c>
      <c r="X16">
        <f>HYPERLINK("https://klasma.github.io/Logging_1430/tillsyn/A 18784-2019 tillsynsbegäran.docx", "A 18784-2019")</f>
        <v/>
      </c>
      <c r="Y16">
        <f>HYPERLINK("https://klasma.github.io/Logging_1430/tillsynsmail/A 18784-2019 tillsynsbegäran mail.docx", "A 18784-2019")</f>
        <v/>
      </c>
    </row>
    <row r="17" ht="15" customHeight="1">
      <c r="A17" t="inlineStr">
        <is>
          <t>A 33245-2019</t>
        </is>
      </c>
      <c r="B17" s="1" t="n">
        <v>43650</v>
      </c>
      <c r="C17" s="1" t="n">
        <v>45276</v>
      </c>
      <c r="D17" t="inlineStr">
        <is>
          <t>VÄSTRA GÖTALANDS LÄN</t>
        </is>
      </c>
      <c r="E17" t="inlineStr">
        <is>
          <t>MUNKEDAL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33245-2019 artfynd.xlsx", "A 33245-2019")</f>
        <v/>
      </c>
      <c r="T17">
        <f>HYPERLINK("https://klasma.github.io/Logging_1430/kartor/A 33245-2019 karta.png", "A 33245-2019")</f>
        <v/>
      </c>
      <c r="V17">
        <f>HYPERLINK("https://klasma.github.io/Logging_1430/klagomål/A 33245-2019 FSC-klagomål.docx", "A 33245-2019")</f>
        <v/>
      </c>
      <c r="W17">
        <f>HYPERLINK("https://klasma.github.io/Logging_1430/klagomålsmail/A 33245-2019 FSC-klagomål mail.docx", "A 33245-2019")</f>
        <v/>
      </c>
      <c r="X17">
        <f>HYPERLINK("https://klasma.github.io/Logging_1430/tillsyn/A 33245-2019 tillsynsbegäran.docx", "A 33245-2019")</f>
        <v/>
      </c>
      <c r="Y17">
        <f>HYPERLINK("https://klasma.github.io/Logging_1430/tillsynsmail/A 33245-2019 tillsynsbegäran mail.docx", "A 33245-2019")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45276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6545-2022</t>
        </is>
      </c>
      <c r="B19" s="1" t="n">
        <v>44601</v>
      </c>
      <c r="C19" s="1" t="n">
        <v>45276</v>
      </c>
      <c r="D19" t="inlineStr">
        <is>
          <t>VÄSTRA GÖTALANDS LÄN</t>
        </is>
      </c>
      <c r="E19" t="inlineStr">
        <is>
          <t>MUNKEDAL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6545-2022 artfynd.xlsx", "A 6545-2022")</f>
        <v/>
      </c>
      <c r="T19">
        <f>HYPERLINK("https://klasma.github.io/Logging_1430/kartor/A 6545-2022 karta.png", "A 6545-2022")</f>
        <v/>
      </c>
      <c r="V19">
        <f>HYPERLINK("https://klasma.github.io/Logging_1430/klagomål/A 6545-2022 FSC-klagomål.docx", "A 6545-2022")</f>
        <v/>
      </c>
      <c r="W19">
        <f>HYPERLINK("https://klasma.github.io/Logging_1430/klagomålsmail/A 6545-2022 FSC-klagomål mail.docx", "A 6545-2022")</f>
        <v/>
      </c>
      <c r="X19">
        <f>HYPERLINK("https://klasma.github.io/Logging_1430/tillsyn/A 6545-2022 tillsynsbegäran.docx", "A 6545-2022")</f>
        <v/>
      </c>
      <c r="Y19">
        <f>HYPERLINK("https://klasma.github.io/Logging_1430/tillsynsmail/A 6545-2022 tillsynsbegäran mail.docx", "A 6545-2022")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45276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26040-2022</t>
        </is>
      </c>
      <c r="B21" s="1" t="n">
        <v>44734</v>
      </c>
      <c r="C21" s="1" t="n">
        <v>45276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HYPERLINK("https://klasma.github.io/Logging_1430/artfynd/A 26040-2022 artfynd.xlsx", "A 26040-2022")</f>
        <v/>
      </c>
      <c r="T21">
        <f>HYPERLINK("https://klasma.github.io/Logging_1430/kartor/A 26040-2022 karta.png", "A 26040-2022")</f>
        <v/>
      </c>
      <c r="V21">
        <f>HYPERLINK("https://klasma.github.io/Logging_1430/klagomål/A 26040-2022 FSC-klagomål.docx", "A 26040-2022")</f>
        <v/>
      </c>
      <c r="W21">
        <f>HYPERLINK("https://klasma.github.io/Logging_1430/klagomålsmail/A 26040-2022 FSC-klagomål mail.docx", "A 26040-2022")</f>
        <v/>
      </c>
      <c r="X21">
        <f>HYPERLINK("https://klasma.github.io/Logging_1430/tillsyn/A 26040-2022 tillsynsbegäran.docx", "A 26040-2022")</f>
        <v/>
      </c>
      <c r="Y21">
        <f>HYPERLINK("https://klasma.github.io/Logging_1430/tillsynsmail/A 26040-2022 tillsynsbegäran mail.docx", "A 26040-2022")</f>
        <v/>
      </c>
    </row>
    <row r="22" ht="15" customHeight="1">
      <c r="A22" t="inlineStr">
        <is>
          <t>A 47881-2022</t>
        </is>
      </c>
      <c r="B22" s="1" t="n">
        <v>44855</v>
      </c>
      <c r="C22" s="1" t="n">
        <v>45276</v>
      </c>
      <c r="D22" t="inlineStr">
        <is>
          <t>VÄSTRA GÖTALANDS LÄN</t>
        </is>
      </c>
      <c r="E22" t="inlineStr">
        <is>
          <t>MUNKEDAL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HYPERLINK("https://klasma.github.io/Logging_1430/artfynd/A 47881-2022 artfynd.xlsx", "A 47881-2022")</f>
        <v/>
      </c>
      <c r="T22">
        <f>HYPERLINK("https://klasma.github.io/Logging_1430/kartor/A 47881-2022 karta.png", "A 47881-2022")</f>
        <v/>
      </c>
      <c r="V22">
        <f>HYPERLINK("https://klasma.github.io/Logging_1430/klagomål/A 47881-2022 FSC-klagomål.docx", "A 47881-2022")</f>
        <v/>
      </c>
      <c r="W22">
        <f>HYPERLINK("https://klasma.github.io/Logging_1430/klagomålsmail/A 47881-2022 FSC-klagomål mail.docx", "A 47881-2022")</f>
        <v/>
      </c>
      <c r="X22">
        <f>HYPERLINK("https://klasma.github.io/Logging_1430/tillsyn/A 47881-2022 tillsynsbegäran.docx", "A 47881-2022")</f>
        <v/>
      </c>
      <c r="Y22">
        <f>HYPERLINK("https://klasma.github.io/Logging_1430/tillsynsmail/A 47881-2022 tillsynsbegäran mail.docx", "A 47881-2022")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45276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45276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</row>
    <row r="25" ht="15" customHeight="1">
      <c r="A25" t="inlineStr">
        <is>
          <t>A 54838-2023</t>
        </is>
      </c>
      <c r="B25" s="1" t="n">
        <v>45236</v>
      </c>
      <c r="C25" s="1" t="n">
        <v>45276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HYPERLINK("https://klasma.github.io/Logging_1430/artfynd/A 54838-2023 artfynd.xlsx", "A 54838-2023")</f>
        <v/>
      </c>
      <c r="T25">
        <f>HYPERLINK("https://klasma.github.io/Logging_1430/kartor/A 54838-2023 karta.png", "A 54838-2023")</f>
        <v/>
      </c>
      <c r="V25">
        <f>HYPERLINK("https://klasma.github.io/Logging_1430/klagomål/A 54838-2023 FSC-klagomål.docx", "A 54838-2023")</f>
        <v/>
      </c>
      <c r="W25">
        <f>HYPERLINK("https://klasma.github.io/Logging_1430/klagomålsmail/A 54838-2023 FSC-klagomål mail.docx", "A 54838-2023")</f>
        <v/>
      </c>
      <c r="X25">
        <f>HYPERLINK("https://klasma.github.io/Logging_1430/tillsyn/A 54838-2023 tillsynsbegäran.docx", "A 54838-2023")</f>
        <v/>
      </c>
      <c r="Y25">
        <f>HYPERLINK("https://klasma.github.io/Logging_1430/tillsynsmail/A 54838-2023 tillsynsbegäran mail.docx", "A 54838-2023")</f>
        <v/>
      </c>
    </row>
    <row r="26" ht="15" customHeight="1">
      <c r="A26" t="inlineStr">
        <is>
          <t>A 39940-2018</t>
        </is>
      </c>
      <c r="B26" s="1" t="n">
        <v>43342</v>
      </c>
      <c r="C26" s="1" t="n">
        <v>45276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40426-2018</t>
        </is>
      </c>
      <c r="B27" s="1" t="n">
        <v>43342</v>
      </c>
      <c r="C27" s="1" t="n">
        <v>45276</v>
      </c>
      <c r="D27" t="inlineStr">
        <is>
          <t>VÄSTRA GÖTALANDS LÄN</t>
        </is>
      </c>
      <c r="E27" t="inlineStr">
        <is>
          <t>MUNKEDAL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40439-2018</t>
        </is>
      </c>
      <c r="B28" s="1" t="n">
        <v>43342</v>
      </c>
      <c r="C28" s="1" t="n">
        <v>45276</v>
      </c>
      <c r="D28" t="inlineStr">
        <is>
          <t>VÄSTRA GÖTALANDS LÄN</t>
        </is>
      </c>
      <c r="E28" t="inlineStr">
        <is>
          <t>MUNKEDAL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40421-2018</t>
        </is>
      </c>
      <c r="B29" s="1" t="n">
        <v>43342</v>
      </c>
      <c r="C29" s="1" t="n">
        <v>45276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39955-2018</t>
        </is>
      </c>
      <c r="B30" s="1" t="n">
        <v>43342</v>
      </c>
      <c r="C30" s="1" t="n">
        <v>45276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44827-2018</t>
        </is>
      </c>
      <c r="B31" s="1" t="n">
        <v>43357</v>
      </c>
      <c r="C31" s="1" t="n">
        <v>45276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43959-2018</t>
        </is>
      </c>
      <c r="B32" s="1" t="n">
        <v>43360</v>
      </c>
      <c r="C32" s="1" t="n">
        <v>45276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46343-2018</t>
        </is>
      </c>
      <c r="B33" s="1" t="n">
        <v>43363</v>
      </c>
      <c r="C33" s="1" t="n">
        <v>45276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46348-2018</t>
        </is>
      </c>
      <c r="B34" s="1" t="n">
        <v>43363</v>
      </c>
      <c r="C34" s="1" t="n">
        <v>45276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47983-2018</t>
        </is>
      </c>
      <c r="B35" s="1" t="n">
        <v>43369</v>
      </c>
      <c r="C35" s="1" t="n">
        <v>45276</v>
      </c>
      <c r="D35" t="inlineStr">
        <is>
          <t>VÄSTRA GÖTALANDS LÄN</t>
        </is>
      </c>
      <c r="E35" t="inlineStr">
        <is>
          <t>MUNKEDAL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53490-2018</t>
        </is>
      </c>
      <c r="B36" s="1" t="n">
        <v>43385</v>
      </c>
      <c r="C36" s="1" t="n">
        <v>45276</v>
      </c>
      <c r="D36" t="inlineStr">
        <is>
          <t>VÄSTRA GÖTALANDS LÄN</t>
        </is>
      </c>
      <c r="E36" t="inlineStr">
        <is>
          <t>MUNKEDAL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65003-2018</t>
        </is>
      </c>
      <c r="B37" s="1" t="n">
        <v>43385</v>
      </c>
      <c r="C37" s="1" t="n">
        <v>45276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53481-2018</t>
        </is>
      </c>
      <c r="B38" s="1" t="n">
        <v>43385</v>
      </c>
      <c r="C38" s="1" t="n">
        <v>45276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63938-2018</t>
        </is>
      </c>
      <c r="B39" s="1" t="n">
        <v>43388</v>
      </c>
      <c r="C39" s="1" t="n">
        <v>45276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53673-2018</t>
        </is>
      </c>
      <c r="B40" s="1" t="n">
        <v>43391</v>
      </c>
      <c r="C40" s="1" t="n">
        <v>45276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54896-2018</t>
        </is>
      </c>
      <c r="B41" s="1" t="n">
        <v>43396</v>
      </c>
      <c r="C41" s="1" t="n">
        <v>45276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58052-2018</t>
        </is>
      </c>
      <c r="B42" s="1" t="n">
        <v>43406</v>
      </c>
      <c r="C42" s="1" t="n">
        <v>45276</v>
      </c>
      <c r="D42" t="inlineStr">
        <is>
          <t>VÄSTRA GÖTALANDS LÄN</t>
        </is>
      </c>
      <c r="E42" t="inlineStr">
        <is>
          <t>MUNKEDAL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62630-2018</t>
        </is>
      </c>
      <c r="B43" s="1" t="n">
        <v>43415</v>
      </c>
      <c r="C43" s="1" t="n">
        <v>45276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63421-2018</t>
        </is>
      </c>
      <c r="B44" s="1" t="n">
        <v>43416</v>
      </c>
      <c r="C44" s="1" t="n">
        <v>45276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62622-2018</t>
        </is>
      </c>
      <c r="B45" s="1" t="n">
        <v>43426</v>
      </c>
      <c r="C45" s="1" t="n">
        <v>45276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62570-2018</t>
        </is>
      </c>
      <c r="B46" s="1" t="n">
        <v>43426</v>
      </c>
      <c r="C46" s="1" t="n">
        <v>45276</v>
      </c>
      <c r="D46" t="inlineStr">
        <is>
          <t>VÄSTRA GÖTALANDS LÄN</t>
        </is>
      </c>
      <c r="E46" t="inlineStr">
        <is>
          <t>MUNKEDAL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66468-2018</t>
        </is>
      </c>
      <c r="B47" s="1" t="n">
        <v>43430</v>
      </c>
      <c r="C47" s="1" t="n">
        <v>45276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64240-2018</t>
        </is>
      </c>
      <c r="B48" s="1" t="n">
        <v>43430</v>
      </c>
      <c r="C48" s="1" t="n">
        <v>45276</v>
      </c>
      <c r="D48" t="inlineStr">
        <is>
          <t>VÄSTRA GÖTALANDS LÄN</t>
        </is>
      </c>
      <c r="E48" t="inlineStr">
        <is>
          <t>MUNKEDAL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67020-2018</t>
        </is>
      </c>
      <c r="B49" s="1" t="n">
        <v>43431</v>
      </c>
      <c r="C49" s="1" t="n">
        <v>45276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65309-2018</t>
        </is>
      </c>
      <c r="B50" s="1" t="n">
        <v>43432</v>
      </c>
      <c r="C50" s="1" t="n">
        <v>45276</v>
      </c>
      <c r="D50" t="inlineStr">
        <is>
          <t>VÄSTRA GÖTALANDS LÄN</t>
        </is>
      </c>
      <c r="E50" t="inlineStr">
        <is>
          <t>MUNKEDAL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65706-2018</t>
        </is>
      </c>
      <c r="B51" s="1" t="n">
        <v>43433</v>
      </c>
      <c r="C51" s="1" t="n">
        <v>45276</v>
      </c>
      <c r="D51" t="inlineStr">
        <is>
          <t>VÄSTRA GÖTALANDS LÄN</t>
        </is>
      </c>
      <c r="E51" t="inlineStr">
        <is>
          <t>MUNKEDAL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67646-2018</t>
        </is>
      </c>
      <c r="B52" s="1" t="n">
        <v>43433</v>
      </c>
      <c r="C52" s="1" t="n">
        <v>45276</v>
      </c>
      <c r="D52" t="inlineStr">
        <is>
          <t>VÄSTRA GÖTALANDS LÄN</t>
        </is>
      </c>
      <c r="E52" t="inlineStr">
        <is>
          <t>MUNKEDAL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66800-2018</t>
        </is>
      </c>
      <c r="B53" s="1" t="n">
        <v>43437</v>
      </c>
      <c r="C53" s="1" t="n">
        <v>45276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68492-2018</t>
        </is>
      </c>
      <c r="B54" s="1" t="n">
        <v>43442</v>
      </c>
      <c r="C54" s="1" t="n">
        <v>45276</v>
      </c>
      <c r="D54" t="inlineStr">
        <is>
          <t>VÄSTRA GÖTALANDS LÄN</t>
        </is>
      </c>
      <c r="E54" t="inlineStr">
        <is>
          <t>MUNKEDAL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70116-2018</t>
        </is>
      </c>
      <c r="B55" s="1" t="n">
        <v>43444</v>
      </c>
      <c r="C55" s="1" t="n">
        <v>45276</v>
      </c>
      <c r="D55" t="inlineStr">
        <is>
          <t>VÄSTRA GÖTALANDS LÄN</t>
        </is>
      </c>
      <c r="E55" t="inlineStr">
        <is>
          <t>MUNKEDAL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70043-2018</t>
        </is>
      </c>
      <c r="B56" s="1" t="n">
        <v>43445</v>
      </c>
      <c r="C56" s="1" t="n">
        <v>45276</v>
      </c>
      <c r="D56" t="inlineStr">
        <is>
          <t>VÄSTRA GÖTALANDS LÄN</t>
        </is>
      </c>
      <c r="E56" t="inlineStr">
        <is>
          <t>MUNKEDAL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70129-2018</t>
        </is>
      </c>
      <c r="B57" s="1" t="n">
        <v>43445</v>
      </c>
      <c r="C57" s="1" t="n">
        <v>45276</v>
      </c>
      <c r="D57" t="inlineStr">
        <is>
          <t>VÄSTRA GÖTALANDS LÄN</t>
        </is>
      </c>
      <c r="E57" t="inlineStr">
        <is>
          <t>MUNKEDAL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70118-2018</t>
        </is>
      </c>
      <c r="B58" s="1" t="n">
        <v>43445</v>
      </c>
      <c r="C58" s="1" t="n">
        <v>45276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70036-2018</t>
        </is>
      </c>
      <c r="B59" s="1" t="n">
        <v>43445</v>
      </c>
      <c r="C59" s="1" t="n">
        <v>45276</v>
      </c>
      <c r="D59" t="inlineStr">
        <is>
          <t>VÄSTRA GÖTALANDS LÄN</t>
        </is>
      </c>
      <c r="E59" t="inlineStr">
        <is>
          <t>MUNKEDAL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572-2019</t>
        </is>
      </c>
      <c r="B60" s="1" t="n">
        <v>43455</v>
      </c>
      <c r="C60" s="1" t="n">
        <v>45276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2030-2019</t>
        </is>
      </c>
      <c r="B61" s="1" t="n">
        <v>43475</v>
      </c>
      <c r="C61" s="1" t="n">
        <v>45276</v>
      </c>
      <c r="D61" t="inlineStr">
        <is>
          <t>VÄSTRA GÖTALANDS LÄN</t>
        </is>
      </c>
      <c r="E61" t="inlineStr">
        <is>
          <t>MUNKEDAL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2729-2019</t>
        </is>
      </c>
      <c r="B62" s="1" t="n">
        <v>43479</v>
      </c>
      <c r="C62" s="1" t="n">
        <v>45276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4685-2019</t>
        </is>
      </c>
      <c r="B63" s="1" t="n">
        <v>43479</v>
      </c>
      <c r="C63" s="1" t="n">
        <v>45276</v>
      </c>
      <c r="D63" t="inlineStr">
        <is>
          <t>VÄSTRA GÖTALANDS LÄN</t>
        </is>
      </c>
      <c r="E63" t="inlineStr">
        <is>
          <t>MUNKEDAL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4686-2019</t>
        </is>
      </c>
      <c r="B64" s="1" t="n">
        <v>43479</v>
      </c>
      <c r="C64" s="1" t="n">
        <v>45276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7601-2019</t>
        </is>
      </c>
      <c r="B65" s="1" t="n">
        <v>43499</v>
      </c>
      <c r="C65" s="1" t="n">
        <v>45276</v>
      </c>
      <c r="D65" t="inlineStr">
        <is>
          <t>VÄSTRA GÖTALANDS LÄN</t>
        </is>
      </c>
      <c r="E65" t="inlineStr">
        <is>
          <t>MUNKEDAL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7599-2019</t>
        </is>
      </c>
      <c r="B66" s="1" t="n">
        <v>43499</v>
      </c>
      <c r="C66" s="1" t="n">
        <v>45276</v>
      </c>
      <c r="D66" t="inlineStr">
        <is>
          <t>VÄSTRA GÖTALANDS LÄN</t>
        </is>
      </c>
      <c r="E66" t="inlineStr">
        <is>
          <t>MUNKEDAL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7600-2019</t>
        </is>
      </c>
      <c r="B67" s="1" t="n">
        <v>43499</v>
      </c>
      <c r="C67" s="1" t="n">
        <v>45276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8703-2019</t>
        </is>
      </c>
      <c r="B68" s="1" t="n">
        <v>43501</v>
      </c>
      <c r="C68" s="1" t="n">
        <v>45276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10058-2019</t>
        </is>
      </c>
      <c r="B69" s="1" t="n">
        <v>43510</v>
      </c>
      <c r="C69" s="1" t="n">
        <v>45276</v>
      </c>
      <c r="D69" t="inlineStr">
        <is>
          <t>VÄSTRA GÖTALANDS LÄN</t>
        </is>
      </c>
      <c r="E69" t="inlineStr">
        <is>
          <t>MUNKEDAL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10056-2019</t>
        </is>
      </c>
      <c r="B70" s="1" t="n">
        <v>43510</v>
      </c>
      <c r="C70" s="1" t="n">
        <v>45276</v>
      </c>
      <c r="D70" t="inlineStr">
        <is>
          <t>VÄSTRA GÖTALANDS LÄN</t>
        </is>
      </c>
      <c r="E70" t="inlineStr">
        <is>
          <t>MUNKEDAL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11134-2019</t>
        </is>
      </c>
      <c r="B71" s="1" t="n">
        <v>43516</v>
      </c>
      <c r="C71" s="1" t="n">
        <v>45276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11360-2019</t>
        </is>
      </c>
      <c r="B72" s="1" t="n">
        <v>43517</v>
      </c>
      <c r="C72" s="1" t="n">
        <v>45276</v>
      </c>
      <c r="D72" t="inlineStr">
        <is>
          <t>VÄSTRA GÖTALANDS LÄN</t>
        </is>
      </c>
      <c r="E72" t="inlineStr">
        <is>
          <t>MUNKEDAL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11667-2019</t>
        </is>
      </c>
      <c r="B73" s="1" t="n">
        <v>43518</v>
      </c>
      <c r="C73" s="1" t="n">
        <v>45276</v>
      </c>
      <c r="D73" t="inlineStr">
        <is>
          <t>VÄSTRA GÖTALANDS LÄN</t>
        </is>
      </c>
      <c r="E73" t="inlineStr">
        <is>
          <t>MUNKEDAL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12086-2019</t>
        </is>
      </c>
      <c r="B74" s="1" t="n">
        <v>43522</v>
      </c>
      <c r="C74" s="1" t="n">
        <v>45276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12818-2019</t>
        </is>
      </c>
      <c r="B75" s="1" t="n">
        <v>43525</v>
      </c>
      <c r="C75" s="1" t="n">
        <v>45276</v>
      </c>
      <c r="D75" t="inlineStr">
        <is>
          <t>VÄSTRA GÖTALANDS LÄN</t>
        </is>
      </c>
      <c r="E75" t="inlineStr">
        <is>
          <t>MUNKEDAL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12983-2019</t>
        </is>
      </c>
      <c r="B76" s="1" t="n">
        <v>43527</v>
      </c>
      <c r="C76" s="1" t="n">
        <v>45276</v>
      </c>
      <c r="D76" t="inlineStr">
        <is>
          <t>VÄSTRA GÖTALANDS LÄN</t>
        </is>
      </c>
      <c r="E76" t="inlineStr">
        <is>
          <t>MUNKEDAL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13501-2019</t>
        </is>
      </c>
      <c r="B77" s="1" t="n">
        <v>43529</v>
      </c>
      <c r="C77" s="1" t="n">
        <v>45276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13517-2019</t>
        </is>
      </c>
      <c r="B78" s="1" t="n">
        <v>43529</v>
      </c>
      <c r="C78" s="1" t="n">
        <v>45276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13515-2019</t>
        </is>
      </c>
      <c r="B79" s="1" t="n">
        <v>43529</v>
      </c>
      <c r="C79" s="1" t="n">
        <v>45276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14243-2019</t>
        </is>
      </c>
      <c r="B80" s="1" t="n">
        <v>43535</v>
      </c>
      <c r="C80" s="1" t="n">
        <v>45276</v>
      </c>
      <c r="D80" t="inlineStr">
        <is>
          <t>VÄSTRA GÖTALANDS LÄN</t>
        </is>
      </c>
      <c r="E80" t="inlineStr">
        <is>
          <t>MUNKEDAL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15957-2019</t>
        </is>
      </c>
      <c r="B81" s="1" t="n">
        <v>43537</v>
      </c>
      <c r="C81" s="1" t="n">
        <v>45276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16886-2019</t>
        </is>
      </c>
      <c r="B82" s="1" t="n">
        <v>43549</v>
      </c>
      <c r="C82" s="1" t="n">
        <v>45276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17276-2019</t>
        </is>
      </c>
      <c r="B83" s="1" t="n">
        <v>43549</v>
      </c>
      <c r="C83" s="1" t="n">
        <v>45276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16772-2019</t>
        </is>
      </c>
      <c r="B84" s="1" t="n">
        <v>43549</v>
      </c>
      <c r="C84" s="1" t="n">
        <v>45276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17238-2019</t>
        </is>
      </c>
      <c r="B85" s="1" t="n">
        <v>43550</v>
      </c>
      <c r="C85" s="1" t="n">
        <v>45276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18458-2019</t>
        </is>
      </c>
      <c r="B86" s="1" t="n">
        <v>43559</v>
      </c>
      <c r="C86" s="1" t="n">
        <v>45276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18362-2019</t>
        </is>
      </c>
      <c r="B87" s="1" t="n">
        <v>43559</v>
      </c>
      <c r="C87" s="1" t="n">
        <v>45276</v>
      </c>
      <c r="D87" t="inlineStr">
        <is>
          <t>VÄSTRA GÖTALANDS LÄN</t>
        </is>
      </c>
      <c r="E87" t="inlineStr">
        <is>
          <t>MUNKEDAL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18783-2019</t>
        </is>
      </c>
      <c r="B88" s="1" t="n">
        <v>43562</v>
      </c>
      <c r="C88" s="1" t="n">
        <v>45276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18787-2019</t>
        </is>
      </c>
      <c r="B89" s="1" t="n">
        <v>43562</v>
      </c>
      <c r="C89" s="1" t="n">
        <v>45276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22768-2019</t>
        </is>
      </c>
      <c r="B90" s="1" t="n">
        <v>43588</v>
      </c>
      <c r="C90" s="1" t="n">
        <v>45276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22706-2019</t>
        </is>
      </c>
      <c r="B91" s="1" t="n">
        <v>43588</v>
      </c>
      <c r="C91" s="1" t="n">
        <v>45276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29134-2019</t>
        </is>
      </c>
      <c r="B92" s="1" t="n">
        <v>43628</v>
      </c>
      <c r="C92" s="1" t="n">
        <v>45276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29545-2019</t>
        </is>
      </c>
      <c r="B93" s="1" t="n">
        <v>43630</v>
      </c>
      <c r="C93" s="1" t="n">
        <v>45276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30216-2019</t>
        </is>
      </c>
      <c r="B94" s="1" t="n">
        <v>43632</v>
      </c>
      <c r="C94" s="1" t="n">
        <v>45276</v>
      </c>
      <c r="D94" t="inlineStr">
        <is>
          <t>VÄSTRA GÖTALANDS LÄN</t>
        </is>
      </c>
      <c r="E94" t="inlineStr">
        <is>
          <t>MUNKEDAL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30273-2019</t>
        </is>
      </c>
      <c r="B95" s="1" t="n">
        <v>43632</v>
      </c>
      <c r="C95" s="1" t="n">
        <v>45276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31920-2019</t>
        </is>
      </c>
      <c r="B96" s="1" t="n">
        <v>43641</v>
      </c>
      <c r="C96" s="1" t="n">
        <v>45276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40599-2019</t>
        </is>
      </c>
      <c r="B97" s="1" t="n">
        <v>43696</v>
      </c>
      <c r="C97" s="1" t="n">
        <v>45276</v>
      </c>
      <c r="D97" t="inlineStr">
        <is>
          <t>VÄSTRA GÖTALANDS LÄN</t>
        </is>
      </c>
      <c r="E97" t="inlineStr">
        <is>
          <t>MUNKEDAL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44512-2019</t>
        </is>
      </c>
      <c r="B98" s="1" t="n">
        <v>43711</v>
      </c>
      <c r="C98" s="1" t="n">
        <v>45276</v>
      </c>
      <c r="D98" t="inlineStr">
        <is>
          <t>VÄSTRA GÖTALANDS LÄN</t>
        </is>
      </c>
      <c r="E98" t="inlineStr">
        <is>
          <t>MUNKEDAL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44517-2019</t>
        </is>
      </c>
      <c r="B99" s="1" t="n">
        <v>43711</v>
      </c>
      <c r="C99" s="1" t="n">
        <v>45276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47063-2019</t>
        </is>
      </c>
      <c r="B100" s="1" t="n">
        <v>43720</v>
      </c>
      <c r="C100" s="1" t="n">
        <v>45276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47538-2019</t>
        </is>
      </c>
      <c r="B101" s="1" t="n">
        <v>43724</v>
      </c>
      <c r="C101" s="1" t="n">
        <v>45276</v>
      </c>
      <c r="D101" t="inlineStr">
        <is>
          <t>VÄSTRA GÖTALANDS LÄN</t>
        </is>
      </c>
      <c r="E101" t="inlineStr">
        <is>
          <t>MUNKEDAL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49250-2019</t>
        </is>
      </c>
      <c r="B102" s="1" t="n">
        <v>43731</v>
      </c>
      <c r="C102" s="1" t="n">
        <v>45276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49495-2019</t>
        </is>
      </c>
      <c r="B103" s="1" t="n">
        <v>43732</v>
      </c>
      <c r="C103" s="1" t="n">
        <v>45276</v>
      </c>
      <c r="D103" t="inlineStr">
        <is>
          <t>VÄSTRA GÖTALANDS LÄN</t>
        </is>
      </c>
      <c r="E103" t="inlineStr">
        <is>
          <t>MUNKEDAL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49486-2019</t>
        </is>
      </c>
      <c r="B104" s="1" t="n">
        <v>43732</v>
      </c>
      <c r="C104" s="1" t="n">
        <v>45276</v>
      </c>
      <c r="D104" t="inlineStr">
        <is>
          <t>VÄSTRA GÖTALANDS LÄN</t>
        </is>
      </c>
      <c r="E104" t="inlineStr">
        <is>
          <t>MUNKEDAL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49862-2019</t>
        </is>
      </c>
      <c r="B105" s="1" t="n">
        <v>43733</v>
      </c>
      <c r="C105" s="1" t="n">
        <v>45276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50660-2019</t>
        </is>
      </c>
      <c r="B106" s="1" t="n">
        <v>43737</v>
      </c>
      <c r="C106" s="1" t="n">
        <v>45276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58112-2019</t>
        </is>
      </c>
      <c r="B107" s="1" t="n">
        <v>43766</v>
      </c>
      <c r="C107" s="1" t="n">
        <v>45276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57778-2019</t>
        </is>
      </c>
      <c r="B108" s="1" t="n">
        <v>43768</v>
      </c>
      <c r="C108" s="1" t="n">
        <v>45276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60797-2019</t>
        </is>
      </c>
      <c r="B109" s="1" t="n">
        <v>43781</v>
      </c>
      <c r="C109" s="1" t="n">
        <v>45276</v>
      </c>
      <c r="D109" t="inlineStr">
        <is>
          <t>VÄSTRA GÖTALANDS LÄN</t>
        </is>
      </c>
      <c r="E109" t="inlineStr">
        <is>
          <t>MUNKEDAL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61737-2019</t>
        </is>
      </c>
      <c r="B110" s="1" t="n">
        <v>43784</v>
      </c>
      <c r="C110" s="1" t="n">
        <v>45276</v>
      </c>
      <c r="D110" t="inlineStr">
        <is>
          <t>VÄSTRA GÖTALANDS LÄN</t>
        </is>
      </c>
      <c r="E110" t="inlineStr">
        <is>
          <t>MUNKEDAL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63173-2019</t>
        </is>
      </c>
      <c r="B111" s="1" t="n">
        <v>43791</v>
      </c>
      <c r="C111" s="1" t="n">
        <v>45276</v>
      </c>
      <c r="D111" t="inlineStr">
        <is>
          <t>VÄSTRA GÖTALANDS LÄN</t>
        </is>
      </c>
      <c r="E111" t="inlineStr">
        <is>
          <t>MUNKEDAL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64599-2019</t>
        </is>
      </c>
      <c r="B112" s="1" t="n">
        <v>43794</v>
      </c>
      <c r="C112" s="1" t="n">
        <v>45276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64867-2019</t>
        </is>
      </c>
      <c r="B113" s="1" t="n">
        <v>43801</v>
      </c>
      <c r="C113" s="1" t="n">
        <v>45276</v>
      </c>
      <c r="D113" t="inlineStr">
        <is>
          <t>VÄSTRA GÖTALANDS LÄN</t>
        </is>
      </c>
      <c r="E113" t="inlineStr">
        <is>
          <t>MUNKEDAL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67288-2019</t>
        </is>
      </c>
      <c r="B114" s="1" t="n">
        <v>43812</v>
      </c>
      <c r="C114" s="1" t="n">
        <v>45276</v>
      </c>
      <c r="D114" t="inlineStr">
        <is>
          <t>VÄSTRA GÖTALANDS LÄN</t>
        </is>
      </c>
      <c r="E114" t="inlineStr">
        <is>
          <t>MUNKEDAL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1608-2020</t>
        </is>
      </c>
      <c r="B115" s="1" t="n">
        <v>43829</v>
      </c>
      <c r="C115" s="1" t="n">
        <v>45276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83-2020</t>
        </is>
      </c>
      <c r="B116" s="1" t="n">
        <v>43832</v>
      </c>
      <c r="C116" s="1" t="n">
        <v>45276</v>
      </c>
      <c r="D116" t="inlineStr">
        <is>
          <t>VÄSTRA GÖTALANDS LÄN</t>
        </is>
      </c>
      <c r="E116" t="inlineStr">
        <is>
          <t>MUNKEDAL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79-2020</t>
        </is>
      </c>
      <c r="B117" s="1" t="n">
        <v>43832</v>
      </c>
      <c r="C117" s="1" t="n">
        <v>45276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142-2020</t>
        </is>
      </c>
      <c r="B118" s="1" t="n">
        <v>43833</v>
      </c>
      <c r="C118" s="1" t="n">
        <v>45276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143-2020</t>
        </is>
      </c>
      <c r="B119" s="1" t="n">
        <v>43833</v>
      </c>
      <c r="C119" s="1" t="n">
        <v>45276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4638-2020</t>
        </is>
      </c>
      <c r="B120" s="1" t="n">
        <v>43851</v>
      </c>
      <c r="C120" s="1" t="n">
        <v>45276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4432-2020</t>
        </is>
      </c>
      <c r="B121" s="1" t="n">
        <v>43858</v>
      </c>
      <c r="C121" s="1" t="n">
        <v>45276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5392-2020</t>
        </is>
      </c>
      <c r="B122" s="1" t="n">
        <v>43860</v>
      </c>
      <c r="C122" s="1" t="n">
        <v>45276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5895-2020</t>
        </is>
      </c>
      <c r="B123" s="1" t="n">
        <v>43861</v>
      </c>
      <c r="C123" s="1" t="n">
        <v>45276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5893-2020</t>
        </is>
      </c>
      <c r="B124" s="1" t="n">
        <v>43861</v>
      </c>
      <c r="C124" s="1" t="n">
        <v>45276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7138-2020</t>
        </is>
      </c>
      <c r="B125" s="1" t="n">
        <v>43869</v>
      </c>
      <c r="C125" s="1" t="n">
        <v>45276</v>
      </c>
      <c r="D125" t="inlineStr">
        <is>
          <t>VÄSTRA GÖTALANDS LÄN</t>
        </is>
      </c>
      <c r="E125" t="inlineStr">
        <is>
          <t>MUNKEDAL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9305-2020</t>
        </is>
      </c>
      <c r="B126" s="1" t="n">
        <v>43878</v>
      </c>
      <c r="C126" s="1" t="n">
        <v>45276</v>
      </c>
      <c r="D126" t="inlineStr">
        <is>
          <t>VÄSTRA GÖTALANDS LÄN</t>
        </is>
      </c>
      <c r="E126" t="inlineStr">
        <is>
          <t>MUNKEDAL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12263-2020</t>
        </is>
      </c>
      <c r="B127" s="1" t="n">
        <v>43895</v>
      </c>
      <c r="C127" s="1" t="n">
        <v>45276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13736-2020</t>
        </is>
      </c>
      <c r="B128" s="1" t="n">
        <v>43896</v>
      </c>
      <c r="C128" s="1" t="n">
        <v>45276</v>
      </c>
      <c r="D128" t="inlineStr">
        <is>
          <t>VÄSTRA GÖTALANDS LÄN</t>
        </is>
      </c>
      <c r="E128" t="inlineStr">
        <is>
          <t>MUNKEDAL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12477-2020</t>
        </is>
      </c>
      <c r="B129" s="1" t="n">
        <v>43896</v>
      </c>
      <c r="C129" s="1" t="n">
        <v>45276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13752-2020</t>
        </is>
      </c>
      <c r="B130" s="1" t="n">
        <v>43896</v>
      </c>
      <c r="C130" s="1" t="n">
        <v>45276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13755-2020</t>
        </is>
      </c>
      <c r="B131" s="1" t="n">
        <v>43896</v>
      </c>
      <c r="C131" s="1" t="n">
        <v>45276</v>
      </c>
      <c r="D131" t="inlineStr">
        <is>
          <t>VÄSTRA GÖTALANDS LÄN</t>
        </is>
      </c>
      <c r="E131" t="inlineStr">
        <is>
          <t>MUNKEDAL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13751-2020</t>
        </is>
      </c>
      <c r="B132" s="1" t="n">
        <v>43896</v>
      </c>
      <c r="C132" s="1" t="n">
        <v>45276</v>
      </c>
      <c r="D132" t="inlineStr">
        <is>
          <t>VÄSTRA GÖTALANDS LÄN</t>
        </is>
      </c>
      <c r="E132" t="inlineStr">
        <is>
          <t>MUNKEDAL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12865-2020</t>
        </is>
      </c>
      <c r="B133" s="1" t="n">
        <v>43899</v>
      </c>
      <c r="C133" s="1" t="n">
        <v>45276</v>
      </c>
      <c r="D133" t="inlineStr">
        <is>
          <t>VÄSTRA GÖTALANDS LÄN</t>
        </is>
      </c>
      <c r="E133" t="inlineStr">
        <is>
          <t>MUNKEDAL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12872-2020</t>
        </is>
      </c>
      <c r="B134" s="1" t="n">
        <v>43899</v>
      </c>
      <c r="C134" s="1" t="n">
        <v>45276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14357-2020</t>
        </is>
      </c>
      <c r="B135" s="1" t="n">
        <v>43908</v>
      </c>
      <c r="C135" s="1" t="n">
        <v>45276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16744-2020</t>
        </is>
      </c>
      <c r="B136" s="1" t="n">
        <v>43920</v>
      </c>
      <c r="C136" s="1" t="n">
        <v>45276</v>
      </c>
      <c r="D136" t="inlineStr">
        <is>
          <t>VÄSTRA GÖTALANDS LÄN</t>
        </is>
      </c>
      <c r="E136" t="inlineStr">
        <is>
          <t>MUNKEDAL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16726-2020</t>
        </is>
      </c>
      <c r="B137" s="1" t="n">
        <v>43920</v>
      </c>
      <c r="C137" s="1" t="n">
        <v>45276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18161-2020</t>
        </is>
      </c>
      <c r="B138" s="1" t="n">
        <v>43924</v>
      </c>
      <c r="C138" s="1" t="n">
        <v>45276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18353-2020</t>
        </is>
      </c>
      <c r="B139" s="1" t="n">
        <v>43928</v>
      </c>
      <c r="C139" s="1" t="n">
        <v>45276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18794-2020</t>
        </is>
      </c>
      <c r="B140" s="1" t="n">
        <v>43932</v>
      </c>
      <c r="C140" s="1" t="n">
        <v>45276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20013-2020</t>
        </is>
      </c>
      <c r="B141" s="1" t="n">
        <v>43943</v>
      </c>
      <c r="C141" s="1" t="n">
        <v>45276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20471-2020</t>
        </is>
      </c>
      <c r="B142" s="1" t="n">
        <v>43945</v>
      </c>
      <c r="C142" s="1" t="n">
        <v>45276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21693-2020</t>
        </is>
      </c>
      <c r="B143" s="1" t="n">
        <v>43957</v>
      </c>
      <c r="C143" s="1" t="n">
        <v>45276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21627-2020</t>
        </is>
      </c>
      <c r="B144" s="1" t="n">
        <v>43957</v>
      </c>
      <c r="C144" s="1" t="n">
        <v>45276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23251-2020</t>
        </is>
      </c>
      <c r="B145" s="1" t="n">
        <v>43964</v>
      </c>
      <c r="C145" s="1" t="n">
        <v>45276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25455-2020</t>
        </is>
      </c>
      <c r="B146" s="1" t="n">
        <v>43983</v>
      </c>
      <c r="C146" s="1" t="n">
        <v>45276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26417-2020</t>
        </is>
      </c>
      <c r="B147" s="1" t="n">
        <v>43987</v>
      </c>
      <c r="C147" s="1" t="n">
        <v>45276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30835-2020</t>
        </is>
      </c>
      <c r="B148" s="1" t="n">
        <v>44011</v>
      </c>
      <c r="C148" s="1" t="n">
        <v>45276</v>
      </c>
      <c r="D148" t="inlineStr">
        <is>
          <t>VÄSTRA GÖTALANDS LÄN</t>
        </is>
      </c>
      <c r="E148" t="inlineStr">
        <is>
          <t>MUNKEDAL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31713-2020</t>
        </is>
      </c>
      <c r="B149" s="1" t="n">
        <v>44014</v>
      </c>
      <c r="C149" s="1" t="n">
        <v>45276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32124-2020</t>
        </is>
      </c>
      <c r="B150" s="1" t="n">
        <v>44014</v>
      </c>
      <c r="C150" s="1" t="n">
        <v>45276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32125-2020</t>
        </is>
      </c>
      <c r="B151" s="1" t="n">
        <v>44014</v>
      </c>
      <c r="C151" s="1" t="n">
        <v>45276</v>
      </c>
      <c r="D151" t="inlineStr">
        <is>
          <t>VÄSTRA GÖTALANDS LÄN</t>
        </is>
      </c>
      <c r="E151" t="inlineStr">
        <is>
          <t>MUNKEDAL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32082-2020</t>
        </is>
      </c>
      <c r="B152" s="1" t="n">
        <v>44015</v>
      </c>
      <c r="C152" s="1" t="n">
        <v>45276</v>
      </c>
      <c r="D152" t="inlineStr">
        <is>
          <t>VÄSTRA GÖTALANDS LÄN</t>
        </is>
      </c>
      <c r="E152" t="inlineStr">
        <is>
          <t>MUNKEDAL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34358-2020</t>
        </is>
      </c>
      <c r="B153" s="1" t="n">
        <v>44028</v>
      </c>
      <c r="C153" s="1" t="n">
        <v>45276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35750-2020</t>
        </is>
      </c>
      <c r="B154" s="1" t="n">
        <v>44046</v>
      </c>
      <c r="C154" s="1" t="n">
        <v>45276</v>
      </c>
      <c r="D154" t="inlineStr">
        <is>
          <t>VÄSTRA GÖTALANDS LÄN</t>
        </is>
      </c>
      <c r="E154" t="inlineStr">
        <is>
          <t>MUNKEDAL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38949-2020</t>
        </is>
      </c>
      <c r="B155" s="1" t="n">
        <v>44062</v>
      </c>
      <c r="C155" s="1" t="n">
        <v>45276</v>
      </c>
      <c r="D155" t="inlineStr">
        <is>
          <t>VÄSTRA GÖTALANDS LÄN</t>
        </is>
      </c>
      <c r="E155" t="inlineStr">
        <is>
          <t>MUNKEDAL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38927-2020</t>
        </is>
      </c>
      <c r="B156" s="1" t="n">
        <v>44062</v>
      </c>
      <c r="C156" s="1" t="n">
        <v>45276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39142-2020</t>
        </is>
      </c>
      <c r="B157" s="1" t="n">
        <v>44063</v>
      </c>
      <c r="C157" s="1" t="n">
        <v>45276</v>
      </c>
      <c r="D157" t="inlineStr">
        <is>
          <t>VÄSTRA GÖTALANDS LÄN</t>
        </is>
      </c>
      <c r="E157" t="inlineStr">
        <is>
          <t>MUNKEDAL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39587-2020</t>
        </is>
      </c>
      <c r="B158" s="1" t="n">
        <v>44063</v>
      </c>
      <c r="C158" s="1" t="n">
        <v>45276</v>
      </c>
      <c r="D158" t="inlineStr">
        <is>
          <t>VÄSTRA GÖTALANDS LÄN</t>
        </is>
      </c>
      <c r="E158" t="inlineStr">
        <is>
          <t>MUNKEDAL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40849-2020</t>
        </is>
      </c>
      <c r="B159" s="1" t="n">
        <v>44070</v>
      </c>
      <c r="C159" s="1" t="n">
        <v>45276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41593-2020</t>
        </is>
      </c>
      <c r="B160" s="1" t="n">
        <v>44070</v>
      </c>
      <c r="C160" s="1" t="n">
        <v>45276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41154-2020</t>
        </is>
      </c>
      <c r="B161" s="1" t="n">
        <v>44071</v>
      </c>
      <c r="C161" s="1" t="n">
        <v>45276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42916-2020</t>
        </is>
      </c>
      <c r="B162" s="1" t="n">
        <v>44078</v>
      </c>
      <c r="C162" s="1" t="n">
        <v>45276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45713-2020</t>
        </is>
      </c>
      <c r="B163" s="1" t="n">
        <v>44086</v>
      </c>
      <c r="C163" s="1" t="n">
        <v>45276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49098-2020</t>
        </is>
      </c>
      <c r="B164" s="1" t="n">
        <v>44104</v>
      </c>
      <c r="C164" s="1" t="n">
        <v>45276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49427-2020</t>
        </is>
      </c>
      <c r="B165" s="1" t="n">
        <v>44105</v>
      </c>
      <c r="C165" s="1" t="n">
        <v>45276</v>
      </c>
      <c r="D165" t="inlineStr">
        <is>
          <t>VÄSTRA GÖTALANDS LÄN</t>
        </is>
      </c>
      <c r="E165" t="inlineStr">
        <is>
          <t>MUNKEDAL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51104-2020</t>
        </is>
      </c>
      <c r="B166" s="1" t="n">
        <v>44112</v>
      </c>
      <c r="C166" s="1" t="n">
        <v>45276</v>
      </c>
      <c r="D166" t="inlineStr">
        <is>
          <t>VÄSTRA GÖTALANDS LÄN</t>
        </is>
      </c>
      <c r="E166" t="inlineStr">
        <is>
          <t>MUNKEDAL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51114-2020</t>
        </is>
      </c>
      <c r="B167" s="1" t="n">
        <v>44112</v>
      </c>
      <c r="C167" s="1" t="n">
        <v>45276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51124-2020</t>
        </is>
      </c>
      <c r="B168" s="1" t="n">
        <v>44112</v>
      </c>
      <c r="C168" s="1" t="n">
        <v>45276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57179-2020</t>
        </is>
      </c>
      <c r="B169" s="1" t="n">
        <v>44112</v>
      </c>
      <c r="C169" s="1" t="n">
        <v>45276</v>
      </c>
      <c r="D169" t="inlineStr">
        <is>
          <t>VÄSTRA GÖTALANDS LÄN</t>
        </is>
      </c>
      <c r="E169" t="inlineStr">
        <is>
          <t>MUNKEDAL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57210-2020</t>
        </is>
      </c>
      <c r="B170" s="1" t="n">
        <v>44112</v>
      </c>
      <c r="C170" s="1" t="n">
        <v>45276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53913-2020</t>
        </is>
      </c>
      <c r="B171" s="1" t="n">
        <v>44125</v>
      </c>
      <c r="C171" s="1" t="n">
        <v>45276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54948-2020</t>
        </is>
      </c>
      <c r="B172" s="1" t="n">
        <v>44129</v>
      </c>
      <c r="C172" s="1" t="n">
        <v>45276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60207-2020</t>
        </is>
      </c>
      <c r="B173" s="1" t="n">
        <v>44152</v>
      </c>
      <c r="C173" s="1" t="n">
        <v>45276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60209-2020</t>
        </is>
      </c>
      <c r="B174" s="1" t="n">
        <v>44152</v>
      </c>
      <c r="C174" s="1" t="n">
        <v>45276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60470-2020</t>
        </is>
      </c>
      <c r="B175" s="1" t="n">
        <v>44153</v>
      </c>
      <c r="C175" s="1" t="n">
        <v>45276</v>
      </c>
      <c r="D175" t="inlineStr">
        <is>
          <t>VÄSTRA GÖTALANDS LÄN</t>
        </is>
      </c>
      <c r="E175" t="inlineStr">
        <is>
          <t>MUNKEDAL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60507-2020</t>
        </is>
      </c>
      <c r="B176" s="1" t="n">
        <v>44153</v>
      </c>
      <c r="C176" s="1" t="n">
        <v>45276</v>
      </c>
      <c r="D176" t="inlineStr">
        <is>
          <t>VÄSTRA GÖTALANDS LÄN</t>
        </is>
      </c>
      <c r="E176" t="inlineStr">
        <is>
          <t>MUNKEDAL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60416-2020</t>
        </is>
      </c>
      <c r="B177" s="1" t="n">
        <v>44153</v>
      </c>
      <c r="C177" s="1" t="n">
        <v>45276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62257-2020</t>
        </is>
      </c>
      <c r="B178" s="1" t="n">
        <v>44155</v>
      </c>
      <c r="C178" s="1" t="n">
        <v>45276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62313-2020</t>
        </is>
      </c>
      <c r="B179" s="1" t="n">
        <v>44160</v>
      </c>
      <c r="C179" s="1" t="n">
        <v>45276</v>
      </c>
      <c r="D179" t="inlineStr">
        <is>
          <t>VÄSTRA GÖTALANDS LÄN</t>
        </is>
      </c>
      <c r="E179" t="inlineStr">
        <is>
          <t>MUNKEDAL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62712-2020</t>
        </is>
      </c>
      <c r="B180" s="1" t="n">
        <v>44161</v>
      </c>
      <c r="C180" s="1" t="n">
        <v>45276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64122-2020</t>
        </is>
      </c>
      <c r="B181" s="1" t="n">
        <v>44166</v>
      </c>
      <c r="C181" s="1" t="n">
        <v>45276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65461-2020</t>
        </is>
      </c>
      <c r="B182" s="1" t="n">
        <v>44170</v>
      </c>
      <c r="C182" s="1" t="n">
        <v>45276</v>
      </c>
      <c r="D182" t="inlineStr">
        <is>
          <t>VÄSTRA GÖTALANDS LÄN</t>
        </is>
      </c>
      <c r="E182" t="inlineStr">
        <is>
          <t>MUNKEDAL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65471-2020</t>
        </is>
      </c>
      <c r="B183" s="1" t="n">
        <v>44171</v>
      </c>
      <c r="C183" s="1" t="n">
        <v>45276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103-2021</t>
        </is>
      </c>
      <c r="B184" s="1" t="n">
        <v>44200</v>
      </c>
      <c r="C184" s="1" t="n">
        <v>45276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889-2021</t>
        </is>
      </c>
      <c r="B185" s="1" t="n">
        <v>44206</v>
      </c>
      <c r="C185" s="1" t="n">
        <v>45276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2926-2021</t>
        </is>
      </c>
      <c r="B186" s="1" t="n">
        <v>44216</v>
      </c>
      <c r="C186" s="1" t="n">
        <v>45276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4332-2021</t>
        </is>
      </c>
      <c r="B187" s="1" t="n">
        <v>44223</v>
      </c>
      <c r="C187" s="1" t="n">
        <v>45276</v>
      </c>
      <c r="D187" t="inlineStr">
        <is>
          <t>VÄSTRA GÖTALANDS LÄN</t>
        </is>
      </c>
      <c r="E187" t="inlineStr">
        <is>
          <t>MUNKEDAL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5405-2021</t>
        </is>
      </c>
      <c r="B188" s="1" t="n">
        <v>44228</v>
      </c>
      <c r="C188" s="1" t="n">
        <v>45276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6899-2021</t>
        </is>
      </c>
      <c r="B189" s="1" t="n">
        <v>44237</v>
      </c>
      <c r="C189" s="1" t="n">
        <v>45276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7157-2021</t>
        </is>
      </c>
      <c r="B190" s="1" t="n">
        <v>44238</v>
      </c>
      <c r="C190" s="1" t="n">
        <v>45276</v>
      </c>
      <c r="D190" t="inlineStr">
        <is>
          <t>VÄSTRA GÖTALANDS LÄN</t>
        </is>
      </c>
      <c r="E190" t="inlineStr">
        <is>
          <t>MUNKEDAL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8093-2021</t>
        </is>
      </c>
      <c r="B191" s="1" t="n">
        <v>44242</v>
      </c>
      <c r="C191" s="1" t="n">
        <v>45276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8913-2021</t>
        </is>
      </c>
      <c r="B192" s="1" t="n">
        <v>44246</v>
      </c>
      <c r="C192" s="1" t="n">
        <v>45276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9577-2021</t>
        </is>
      </c>
      <c r="B193" s="1" t="n">
        <v>44251</v>
      </c>
      <c r="C193" s="1" t="n">
        <v>45276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13884-2021</t>
        </is>
      </c>
      <c r="B194" s="1" t="n">
        <v>44277</v>
      </c>
      <c r="C194" s="1" t="n">
        <v>45276</v>
      </c>
      <c r="D194" t="inlineStr">
        <is>
          <t>VÄSTRA GÖTALANDS LÄN</t>
        </is>
      </c>
      <c r="E194" t="inlineStr">
        <is>
          <t>MUNKEDAL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13969-2021</t>
        </is>
      </c>
      <c r="B195" s="1" t="n">
        <v>44277</v>
      </c>
      <c r="C195" s="1" t="n">
        <v>45276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17507-2021</t>
        </is>
      </c>
      <c r="B196" s="1" t="n">
        <v>44299</v>
      </c>
      <c r="C196" s="1" t="n">
        <v>45276</v>
      </c>
      <c r="D196" t="inlineStr">
        <is>
          <t>VÄSTRA GÖTALANDS LÄN</t>
        </is>
      </c>
      <c r="E196" t="inlineStr">
        <is>
          <t>MUNKEDAL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20936-2021</t>
        </is>
      </c>
      <c r="B197" s="1" t="n">
        <v>44318</v>
      </c>
      <c r="C197" s="1" t="n">
        <v>45276</v>
      </c>
      <c r="D197" t="inlineStr">
        <is>
          <t>VÄSTRA GÖTALANDS LÄN</t>
        </is>
      </c>
      <c r="E197" t="inlineStr">
        <is>
          <t>MUNKEDAL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22162-2021</t>
        </is>
      </c>
      <c r="B198" s="1" t="n">
        <v>44325</v>
      </c>
      <c r="C198" s="1" t="n">
        <v>45276</v>
      </c>
      <c r="D198" t="inlineStr">
        <is>
          <t>VÄSTRA GÖTALANDS LÄN</t>
        </is>
      </c>
      <c r="E198" t="inlineStr">
        <is>
          <t>MUNKEDAL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27387-2021</t>
        </is>
      </c>
      <c r="B199" s="1" t="n">
        <v>44351</v>
      </c>
      <c r="C199" s="1" t="n">
        <v>45276</v>
      </c>
      <c r="D199" t="inlineStr">
        <is>
          <t>VÄSTRA GÖTALANDS LÄN</t>
        </is>
      </c>
      <c r="E199" t="inlineStr">
        <is>
          <t>MUNKEDAL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27632-2021</t>
        </is>
      </c>
      <c r="B200" s="1" t="n">
        <v>44354</v>
      </c>
      <c r="C200" s="1" t="n">
        <v>45276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28354-2021</t>
        </is>
      </c>
      <c r="B201" s="1" t="n">
        <v>44356</v>
      </c>
      <c r="C201" s="1" t="n">
        <v>45276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28375-2021</t>
        </is>
      </c>
      <c r="B202" s="1" t="n">
        <v>44356</v>
      </c>
      <c r="C202" s="1" t="n">
        <v>45276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28379-2021</t>
        </is>
      </c>
      <c r="B203" s="1" t="n">
        <v>44356</v>
      </c>
      <c r="C203" s="1" t="n">
        <v>45276</v>
      </c>
      <c r="D203" t="inlineStr">
        <is>
          <t>VÄSTRA GÖTALANDS LÄN</t>
        </is>
      </c>
      <c r="E203" t="inlineStr">
        <is>
          <t>MUNKEDAL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28754-2021</t>
        </is>
      </c>
      <c r="B204" s="1" t="n">
        <v>44357</v>
      </c>
      <c r="C204" s="1" t="n">
        <v>45276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45276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29086-2021</t>
        </is>
      </c>
      <c r="B206" s="1" t="n">
        <v>44358</v>
      </c>
      <c r="C206" s="1" t="n">
        <v>45276</v>
      </c>
      <c r="D206" t="inlineStr">
        <is>
          <t>VÄSTRA GÖTALANDS LÄN</t>
        </is>
      </c>
      <c r="E206" t="inlineStr">
        <is>
          <t>MUNKEDAL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29087-2021</t>
        </is>
      </c>
      <c r="B207" s="1" t="n">
        <v>44358</v>
      </c>
      <c r="C207" s="1" t="n">
        <v>45276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29078-2021</t>
        </is>
      </c>
      <c r="B208" s="1" t="n">
        <v>44358</v>
      </c>
      <c r="C208" s="1" t="n">
        <v>45276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29502-2021</t>
        </is>
      </c>
      <c r="B209" s="1" t="n">
        <v>44361</v>
      </c>
      <c r="C209" s="1" t="n">
        <v>45276</v>
      </c>
      <c r="D209" t="inlineStr">
        <is>
          <t>VÄSTRA GÖTALANDS LÄN</t>
        </is>
      </c>
      <c r="E209" t="inlineStr">
        <is>
          <t>MUNKEDAL</t>
        </is>
      </c>
      <c r="G209" t="n">
        <v>25.7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31450-2021</t>
        </is>
      </c>
      <c r="B210" s="1" t="n">
        <v>44369</v>
      </c>
      <c r="C210" s="1" t="n">
        <v>45276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35449-2021</t>
        </is>
      </c>
      <c r="B211" s="1" t="n">
        <v>44385</v>
      </c>
      <c r="C211" s="1" t="n">
        <v>45276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38135-2021</t>
        </is>
      </c>
      <c r="B212" s="1" t="n">
        <v>44404</v>
      </c>
      <c r="C212" s="1" t="n">
        <v>45276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38123-2021</t>
        </is>
      </c>
      <c r="B213" s="1" t="n">
        <v>44404</v>
      </c>
      <c r="C213" s="1" t="n">
        <v>45276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38751-2021</t>
        </is>
      </c>
      <c r="B214" s="1" t="n">
        <v>44410</v>
      </c>
      <c r="C214" s="1" t="n">
        <v>45276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38991-2021</t>
        </is>
      </c>
      <c r="B215" s="1" t="n">
        <v>44411</v>
      </c>
      <c r="C215" s="1" t="n">
        <v>45276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38992-2021</t>
        </is>
      </c>
      <c r="B216" s="1" t="n">
        <v>44411</v>
      </c>
      <c r="C216" s="1" t="n">
        <v>45276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39112-2021</t>
        </is>
      </c>
      <c r="B217" s="1" t="n">
        <v>44412</v>
      </c>
      <c r="C217" s="1" t="n">
        <v>45276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39441-2021</t>
        </is>
      </c>
      <c r="B218" s="1" t="n">
        <v>44414</v>
      </c>
      <c r="C218" s="1" t="n">
        <v>45276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40950-2021</t>
        </is>
      </c>
      <c r="B219" s="1" t="n">
        <v>44421</v>
      </c>
      <c r="C219" s="1" t="n">
        <v>45276</v>
      </c>
      <c r="D219" t="inlineStr">
        <is>
          <t>VÄSTRA GÖTALANDS LÄN</t>
        </is>
      </c>
      <c r="E219" t="inlineStr">
        <is>
          <t>MUNKEDAL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41921-2021</t>
        </is>
      </c>
      <c r="B220" s="1" t="n">
        <v>44426</v>
      </c>
      <c r="C220" s="1" t="n">
        <v>45276</v>
      </c>
      <c r="D220" t="inlineStr">
        <is>
          <t>VÄSTRA GÖTALANDS LÄN</t>
        </is>
      </c>
      <c r="E220" t="inlineStr">
        <is>
          <t>MUNKEDAL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43442-2021</t>
        </is>
      </c>
      <c r="B221" s="1" t="n">
        <v>44432</v>
      </c>
      <c r="C221" s="1" t="n">
        <v>45276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</v>
      </c>
      <c r="C222" s="1" t="n">
        <v>45276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45276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45276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44620-2021</t>
        </is>
      </c>
      <c r="B225" s="1" t="n">
        <v>44436</v>
      </c>
      <c r="C225" s="1" t="n">
        <v>45276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44893-2021</t>
        </is>
      </c>
      <c r="B226" s="1" t="n">
        <v>44438</v>
      </c>
      <c r="C226" s="1" t="n">
        <v>45276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45123-2021</t>
        </is>
      </c>
      <c r="B227" s="1" t="n">
        <v>44439</v>
      </c>
      <c r="C227" s="1" t="n">
        <v>45276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45215-2021</t>
        </is>
      </c>
      <c r="B228" s="1" t="n">
        <v>44439</v>
      </c>
      <c r="C228" s="1" t="n">
        <v>45276</v>
      </c>
      <c r="D228" t="inlineStr">
        <is>
          <t>VÄSTRA GÖTALANDS LÄN</t>
        </is>
      </c>
      <c r="E228" t="inlineStr">
        <is>
          <t>MUNKEDAL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45222-2021</t>
        </is>
      </c>
      <c r="B229" s="1" t="n">
        <v>44439</v>
      </c>
      <c r="C229" s="1" t="n">
        <v>45276</v>
      </c>
      <c r="D229" t="inlineStr">
        <is>
          <t>VÄSTRA GÖTALANDS LÄN</t>
        </is>
      </c>
      <c r="E229" t="inlineStr">
        <is>
          <t>MUNKEDAL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45150-2021</t>
        </is>
      </c>
      <c r="B230" s="1" t="n">
        <v>44439</v>
      </c>
      <c r="C230" s="1" t="n">
        <v>45276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46068-2021</t>
        </is>
      </c>
      <c r="B231" s="1" t="n">
        <v>44441</v>
      </c>
      <c r="C231" s="1" t="n">
        <v>45276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47378-2021</t>
        </is>
      </c>
      <c r="B232" s="1" t="n">
        <v>44447</v>
      </c>
      <c r="C232" s="1" t="n">
        <v>45276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45276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50336-2021</t>
        </is>
      </c>
      <c r="B234" s="1" t="n">
        <v>44459</v>
      </c>
      <c r="C234" s="1" t="n">
        <v>45276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50650-2021</t>
        </is>
      </c>
      <c r="B235" s="1" t="n">
        <v>44459</v>
      </c>
      <c r="C235" s="1" t="n">
        <v>45276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53839-2021</t>
        </is>
      </c>
      <c r="B236" s="1" t="n">
        <v>44467</v>
      </c>
      <c r="C236" s="1" t="n">
        <v>45276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54349-2021</t>
        </is>
      </c>
      <c r="B237" s="1" t="n">
        <v>44473</v>
      </c>
      <c r="C237" s="1" t="n">
        <v>45276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54353-2021</t>
        </is>
      </c>
      <c r="B238" s="1" t="n">
        <v>44473</v>
      </c>
      <c r="C238" s="1" t="n">
        <v>45276</v>
      </c>
      <c r="D238" t="inlineStr">
        <is>
          <t>VÄSTRA GÖTALANDS LÄN</t>
        </is>
      </c>
      <c r="E238" t="inlineStr">
        <is>
          <t>MUNKEDAL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56789-2021</t>
        </is>
      </c>
      <c r="B239" s="1" t="n">
        <v>44481</v>
      </c>
      <c r="C239" s="1" t="n">
        <v>45276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58066-2021</t>
        </is>
      </c>
      <c r="B240" s="1" t="n">
        <v>44487</v>
      </c>
      <c r="C240" s="1" t="n">
        <v>45276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59514-2021</t>
        </is>
      </c>
      <c r="B241" s="1" t="n">
        <v>44491</v>
      </c>
      <c r="C241" s="1" t="n">
        <v>45276</v>
      </c>
      <c r="D241" t="inlineStr">
        <is>
          <t>VÄSTRA GÖTALANDS LÄN</t>
        </is>
      </c>
      <c r="E241" t="inlineStr">
        <is>
          <t>MUNKEDAL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60859-2021</t>
        </is>
      </c>
      <c r="B242" s="1" t="n">
        <v>44497</v>
      </c>
      <c r="C242" s="1" t="n">
        <v>45276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60863-2021</t>
        </is>
      </c>
      <c r="B243" s="1" t="n">
        <v>44497</v>
      </c>
      <c r="C243" s="1" t="n">
        <v>45276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</v>
      </c>
      <c r="C244" s="1" t="n">
        <v>45276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63901-2021</t>
        </is>
      </c>
      <c r="B245" s="1" t="n">
        <v>44509</v>
      </c>
      <c r="C245" s="1" t="n">
        <v>45276</v>
      </c>
      <c r="D245" t="inlineStr">
        <is>
          <t>VÄSTRA GÖTALANDS LÄN</t>
        </is>
      </c>
      <c r="E245" t="inlineStr">
        <is>
          <t>MUNKEDAL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64731-2021</t>
        </is>
      </c>
      <c r="B246" s="1" t="n">
        <v>44512</v>
      </c>
      <c r="C246" s="1" t="n">
        <v>45276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65327-2021</t>
        </is>
      </c>
      <c r="B247" s="1" t="n">
        <v>44515</v>
      </c>
      <c r="C247" s="1" t="n">
        <v>45276</v>
      </c>
      <c r="D247" t="inlineStr">
        <is>
          <t>VÄSTRA GÖTALANDS LÄN</t>
        </is>
      </c>
      <c r="E247" t="inlineStr">
        <is>
          <t>MUNKEDAL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67233-2021</t>
        </is>
      </c>
      <c r="B248" s="1" t="n">
        <v>44523</v>
      </c>
      <c r="C248" s="1" t="n">
        <v>45276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68218-2021</t>
        </is>
      </c>
      <c r="B249" s="1" t="n">
        <v>44525</v>
      </c>
      <c r="C249" s="1" t="n">
        <v>45276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45276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68333-2021</t>
        </is>
      </c>
      <c r="B251" s="1" t="n">
        <v>44527</v>
      </c>
      <c r="C251" s="1" t="n">
        <v>45276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68596-2021</t>
        </is>
      </c>
      <c r="B252" s="1" t="n">
        <v>44529</v>
      </c>
      <c r="C252" s="1" t="n">
        <v>45276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73977-2021</t>
        </is>
      </c>
      <c r="B253" s="1" t="n">
        <v>44554</v>
      </c>
      <c r="C253" s="1" t="n">
        <v>45276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244-2022</t>
        </is>
      </c>
      <c r="B254" s="1" t="n">
        <v>44563</v>
      </c>
      <c r="C254" s="1" t="n">
        <v>45276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186-2022</t>
        </is>
      </c>
      <c r="B255" s="1" t="n">
        <v>44563</v>
      </c>
      <c r="C255" s="1" t="n">
        <v>45276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828-2022</t>
        </is>
      </c>
      <c r="B256" s="1" t="n">
        <v>44563</v>
      </c>
      <c r="C256" s="1" t="n">
        <v>45276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1523-2022</t>
        </is>
      </c>
      <c r="B257" s="1" t="n">
        <v>44573</v>
      </c>
      <c r="C257" s="1" t="n">
        <v>45276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1545-2022</t>
        </is>
      </c>
      <c r="B258" s="1" t="n">
        <v>44573</v>
      </c>
      <c r="C258" s="1" t="n">
        <v>45276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1808-2022</t>
        </is>
      </c>
      <c r="B259" s="1" t="n">
        <v>44574</v>
      </c>
      <c r="C259" s="1" t="n">
        <v>45276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1924-2022</t>
        </is>
      </c>
      <c r="B260" s="1" t="n">
        <v>44575</v>
      </c>
      <c r="C260" s="1" t="n">
        <v>45276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2483-2022</t>
        </is>
      </c>
      <c r="B261" s="1" t="n">
        <v>44579</v>
      </c>
      <c r="C261" s="1" t="n">
        <v>45276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2481-2022</t>
        </is>
      </c>
      <c r="B262" s="1" t="n">
        <v>44579</v>
      </c>
      <c r="C262" s="1" t="n">
        <v>45276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2634-2022</t>
        </is>
      </c>
      <c r="B263" s="1" t="n">
        <v>44580</v>
      </c>
      <c r="C263" s="1" t="n">
        <v>45276</v>
      </c>
      <c r="D263" t="inlineStr">
        <is>
          <t>VÄSTRA GÖTALANDS LÄN</t>
        </is>
      </c>
      <c r="E263" t="inlineStr">
        <is>
          <t>MUNKEDAL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2635-2022</t>
        </is>
      </c>
      <c r="B264" s="1" t="n">
        <v>44580</v>
      </c>
      <c r="C264" s="1" t="n">
        <v>45276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2797-2022</t>
        </is>
      </c>
      <c r="B265" s="1" t="n">
        <v>44581</v>
      </c>
      <c r="C265" s="1" t="n">
        <v>45276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2975-2022</t>
        </is>
      </c>
      <c r="B266" s="1" t="n">
        <v>44581</v>
      </c>
      <c r="C266" s="1" t="n">
        <v>45276</v>
      </c>
      <c r="D266" t="inlineStr">
        <is>
          <t>VÄSTRA GÖTALANDS LÄN</t>
        </is>
      </c>
      <c r="E266" t="inlineStr">
        <is>
          <t>MUNKEDAL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45276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45276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45276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45276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45276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45276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45276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45276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45276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45276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45276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45276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45276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45276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45276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45276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45276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45276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45276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45276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45276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45276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45276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45276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45276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45276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45276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45276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45276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45276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45276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45276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45276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45276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45276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45276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45276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45276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45276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45276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45276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45276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45276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45276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45276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45276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45276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45276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45276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45276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45276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45276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45276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45276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45276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45276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45276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45276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45276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45276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45276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45276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45276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45276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45276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45276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45276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45276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45276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45276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45276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45276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45276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45276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45276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45276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45276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45276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45276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45276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45276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45276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45276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45276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45276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45276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45276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45276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45276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45276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45276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45276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45276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45276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45276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45276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45276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45276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45276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45276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45276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45276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45276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45276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45276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45276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45276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45276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45276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45276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45276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45276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45276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45276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45276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45276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45276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45276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45276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45276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45276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45276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45276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45276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45276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45276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45276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45276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45276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45276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45276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45276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45276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45276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45276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45276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45276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45276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45276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45276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45276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45276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45276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45276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45276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45276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45276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45276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45276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45276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45276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45276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45276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45276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45276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45276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45276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45276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45276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45276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45276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45276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45276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45276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45276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45276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45276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45276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45276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45276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45276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45276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45276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45276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45276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45276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45276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45276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45276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45276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45276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45276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45276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45276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45276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45276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45276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45276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45276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45276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45276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45276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45276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45276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45276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45276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45276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45276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45276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45276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45276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45276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45276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45276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45276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45276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45276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45276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45276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45276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45276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45276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45276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45276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45276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45276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45276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45276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45276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45276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45276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45276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56766-2023</t>
        </is>
      </c>
      <c r="B489" s="1" t="n">
        <v>45244</v>
      </c>
      <c r="C489" s="1" t="n">
        <v>45276</v>
      </c>
      <c r="D489" t="inlineStr">
        <is>
          <t>VÄSTRA GÖTALANDS LÄN</t>
        </is>
      </c>
      <c r="E489" t="inlineStr">
        <is>
          <t>MUNKEDAL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56744-2023</t>
        </is>
      </c>
      <c r="B490" s="1" t="n">
        <v>45244</v>
      </c>
      <c r="C490" s="1" t="n">
        <v>45276</v>
      </c>
      <c r="D490" t="inlineStr">
        <is>
          <t>VÄSTRA GÖTALANDS LÄN</t>
        </is>
      </c>
      <c r="E490" t="inlineStr">
        <is>
          <t>MUNKEDAL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56892-2023</t>
        </is>
      </c>
      <c r="B491" s="1" t="n">
        <v>45244</v>
      </c>
      <c r="C491" s="1" t="n">
        <v>45276</v>
      </c>
      <c r="D491" t="inlineStr">
        <is>
          <t>VÄSTRA GÖTALANDS LÄN</t>
        </is>
      </c>
      <c r="E491" t="inlineStr">
        <is>
          <t>MUNKEDAL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57606-2023</t>
        </is>
      </c>
      <c r="B492" s="1" t="n">
        <v>45246</v>
      </c>
      <c r="C492" s="1" t="n">
        <v>45276</v>
      </c>
      <c r="D492" t="inlineStr">
        <is>
          <t>VÄSTRA GÖTALANDS LÄN</t>
        </is>
      </c>
      <c r="E492" t="inlineStr">
        <is>
          <t>MUNKEDAL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58617-2023</t>
        </is>
      </c>
      <c r="B493" s="1" t="n">
        <v>45251</v>
      </c>
      <c r="C493" s="1" t="n">
        <v>45276</v>
      </c>
      <c r="D493" t="inlineStr">
        <is>
          <t>VÄSTRA GÖTALANDS LÄN</t>
        </is>
      </c>
      <c r="E493" t="inlineStr">
        <is>
          <t>MUNKEDAL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58487-2023</t>
        </is>
      </c>
      <c r="B494" s="1" t="n">
        <v>45251</v>
      </c>
      <c r="C494" s="1" t="n">
        <v>45276</v>
      </c>
      <c r="D494" t="inlineStr">
        <is>
          <t>VÄSTRA GÖTALANDS LÄN</t>
        </is>
      </c>
      <c r="E494" t="inlineStr">
        <is>
          <t>MUNKEDAL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58583-2023</t>
        </is>
      </c>
      <c r="B495" s="1" t="n">
        <v>45251</v>
      </c>
      <c r="C495" s="1" t="n">
        <v>45276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59502-2023</t>
        </is>
      </c>
      <c r="B496" s="1" t="n">
        <v>45254</v>
      </c>
      <c r="C496" s="1" t="n">
        <v>45276</v>
      </c>
      <c r="D496" t="inlineStr">
        <is>
          <t>VÄSTRA GÖTALANDS LÄN</t>
        </is>
      </c>
      <c r="E496" t="inlineStr">
        <is>
          <t>MUNKEDAL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60497-2023</t>
        </is>
      </c>
      <c r="B497" s="1" t="n">
        <v>45259</v>
      </c>
      <c r="C497" s="1" t="n">
        <v>45276</v>
      </c>
      <c r="D497" t="inlineStr">
        <is>
          <t>VÄSTRA GÖTALANDS LÄN</t>
        </is>
      </c>
      <c r="E497" t="inlineStr">
        <is>
          <t>MUNKEDAL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60662-2023</t>
        </is>
      </c>
      <c r="B498" s="1" t="n">
        <v>45260</v>
      </c>
      <c r="C498" s="1" t="n">
        <v>45276</v>
      </c>
      <c r="D498" t="inlineStr">
        <is>
          <t>VÄSTRA GÖTALANDS LÄN</t>
        </is>
      </c>
      <c r="E498" t="inlineStr">
        <is>
          <t>MUNKEDAL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61621-2023</t>
        </is>
      </c>
      <c r="B499" s="1" t="n">
        <v>45261</v>
      </c>
      <c r="C499" s="1" t="n">
        <v>45276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61584-2023</t>
        </is>
      </c>
      <c r="B500" s="1" t="n">
        <v>45261</v>
      </c>
      <c r="C500" s="1" t="n">
        <v>45276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45276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61377-2023</t>
        </is>
      </c>
      <c r="B502" s="1" t="n">
        <v>45264</v>
      </c>
      <c r="C502" s="1" t="n">
        <v>45276</v>
      </c>
      <c r="D502" t="inlineStr">
        <is>
          <t>VÄSTRA GÖTALANDS LÄN</t>
        </is>
      </c>
      <c r="E502" t="inlineStr">
        <is>
          <t>MUNKEDAL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61885-2023</t>
        </is>
      </c>
      <c r="B503" s="1" t="n">
        <v>45264</v>
      </c>
      <c r="C503" s="1" t="n">
        <v>45276</v>
      </c>
      <c r="D503" t="inlineStr">
        <is>
          <t>VÄSTRA GÖTALANDS LÄN</t>
        </is>
      </c>
      <c r="E503" t="inlineStr">
        <is>
          <t>MUNKEDAL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61374-2023</t>
        </is>
      </c>
      <c r="B504" s="1" t="n">
        <v>45264</v>
      </c>
      <c r="C504" s="1" t="n">
        <v>45276</v>
      </c>
      <c r="D504" t="inlineStr">
        <is>
          <t>VÄSTRA GÖTALANDS LÄN</t>
        </is>
      </c>
      <c r="E504" t="inlineStr">
        <is>
          <t>MUNKEDAL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61768-2023</t>
        </is>
      </c>
      <c r="B505" s="1" t="n">
        <v>45265</v>
      </c>
      <c r="C505" s="1" t="n">
        <v>45276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61821-2023</t>
        </is>
      </c>
      <c r="B506" s="1" t="n">
        <v>45266</v>
      </c>
      <c r="C506" s="1" t="n">
        <v>45276</v>
      </c>
      <c r="D506" t="inlineStr">
        <is>
          <t>VÄSTRA GÖTALANDS LÄN</t>
        </is>
      </c>
      <c r="E506" t="inlineStr">
        <is>
          <t>MUNKEDAL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62090-2023</t>
        </is>
      </c>
      <c r="B507" s="1" t="n">
        <v>45266</v>
      </c>
      <c r="C507" s="1" t="n">
        <v>45276</v>
      </c>
      <c r="D507" t="inlineStr">
        <is>
          <t>VÄSTRA GÖTALANDS LÄN</t>
        </is>
      </c>
      <c r="E507" t="inlineStr">
        <is>
          <t>MUNKEDAL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62331-2023</t>
        </is>
      </c>
      <c r="B508" s="1" t="n">
        <v>45267</v>
      </c>
      <c r="C508" s="1" t="n">
        <v>45276</v>
      </c>
      <c r="D508" t="inlineStr">
        <is>
          <t>VÄSTRA GÖTALANDS LÄN</t>
        </is>
      </c>
      <c r="E508" t="inlineStr">
        <is>
          <t>MUNKEDAL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62463-2023</t>
        </is>
      </c>
      <c r="B509" s="1" t="n">
        <v>45268</v>
      </c>
      <c r="C509" s="1" t="n">
        <v>45276</v>
      </c>
      <c r="D509" t="inlineStr">
        <is>
          <t>VÄSTRA GÖTALANDS LÄN</t>
        </is>
      </c>
      <c r="E509" t="inlineStr">
        <is>
          <t>MUNKEDAL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62706-2023</t>
        </is>
      </c>
      <c r="B510" s="1" t="n">
        <v>45271</v>
      </c>
      <c r="C510" s="1" t="n">
        <v>45276</v>
      </c>
      <c r="D510" t="inlineStr">
        <is>
          <t>VÄSTRA GÖTALANDS LÄN</t>
        </is>
      </c>
      <c r="E510" t="inlineStr">
        <is>
          <t>MUNKEDAL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63093-2023</t>
        </is>
      </c>
      <c r="B511" s="1" t="n">
        <v>45272</v>
      </c>
      <c r="C511" s="1" t="n">
        <v>45276</v>
      </c>
      <c r="D511" t="inlineStr">
        <is>
          <t>VÄSTRA GÖTALANDS LÄN</t>
        </is>
      </c>
      <c r="E511" t="inlineStr">
        <is>
          <t>MUNKEDAL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63251-2023</t>
        </is>
      </c>
      <c r="B512" s="1" t="n">
        <v>45273</v>
      </c>
      <c r="C512" s="1" t="n">
        <v>45276</v>
      </c>
      <c r="D512" t="inlineStr">
        <is>
          <t>VÄSTRA GÖTALANDS LÄN</t>
        </is>
      </c>
      <c r="E512" t="inlineStr">
        <is>
          <t>MUNKEDAL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63512-2023</t>
        </is>
      </c>
      <c r="B513" s="1" t="n">
        <v>45274</v>
      </c>
      <c r="C513" s="1" t="n">
        <v>45276</v>
      </c>
      <c r="D513" t="inlineStr">
        <is>
          <t>VÄSTRA GÖTALANDS LÄN</t>
        </is>
      </c>
      <c r="E513" t="inlineStr">
        <is>
          <t>MUNKEDAL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2023-12-16T09:53:08Z</dcterms:created>
  <dcterms:modified xmlns:dcterms="http://purl.org/dc/terms/" xmlns:xsi="http://www.w3.org/2001/XMLSchema-instance" xsi:type="dcterms:W3CDTF">2023-12-16T09:53:08Z</dcterms:modified>
</cp:coreProperties>
</file>