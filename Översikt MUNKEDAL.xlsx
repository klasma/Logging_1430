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46323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46323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46323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46323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46323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46323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46323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46323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20258-2022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46323</v>
      </c>
      <c r="F14" t="inlineStr">
        <is>
          <t>VÄSTRA GÖTALANDS LÄN</t>
        </is>
      </c>
      <c r="G14" t="inlineStr">
        <is>
          <t>MUNKEDAL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Honungsvaxing</t>
        </is>
      </c>
      <c r="W14">
        <f>HYPERLINK("https://klasma.github.io/Logging_1430/artfynd/A 20258-2022 artfynd.xlsx", "A 20258-2022")</f>
        <v/>
      </c>
      <c r="X14">
        <f>HYPERLINK("https://klasma.github.io/Logging_1430/kartor/A 20258-2022 karta.png", "A 20258-2022")</f>
        <v/>
      </c>
      <c r="Y14">
        <f>HYPERLINK("https://klasma.github.io/Logging_1430/kartor_geotiff/A 20258-2022 georefererad karta.tif", "A 20258-2022")</f>
        <v/>
      </c>
      <c r="AA14">
        <f>HYPERLINK("https://klasma.github.io/Logging_1430/klagomål/A 20258-2022 FSC-klagomål.docx", "A 20258-2022")</f>
        <v/>
      </c>
      <c r="AB14">
        <f>HYPERLINK("https://klasma.github.io/Logging_1430/klagomålsmail/A 20258-2022 FSC-klagomål mail.docx", "A 20258-2022")</f>
        <v/>
      </c>
      <c r="AC14">
        <f>HYPERLINK("https://klasma.github.io/Logging_1430/tillsyn/A 20258-2022 tillsynsbegäran.docx", "A 20258-2022")</f>
        <v/>
      </c>
      <c r="AD14">
        <f>HYPERLINK("https://klasma.github.io/Logging_1430/tillsynsmail/A 20258-2022 tillsynsbegäran mail.docx", "A 20258-2022")</f>
        <v/>
      </c>
    </row>
    <row r="15" ht="15" customHeight="1">
      <c r="A15" t="inlineStr">
        <is>
          <t>A 62525-2021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46323</v>
      </c>
      <c r="F15" t="inlineStr">
        <is>
          <t>VÄSTRA GÖTALANDS LÄN</t>
        </is>
      </c>
      <c r="G15" t="inlineStr">
        <is>
          <t>MUNKEDAL</t>
        </is>
      </c>
      <c r="I15" t="n">
        <v>14.5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Trollsmultron</t>
        </is>
      </c>
      <c r="W15">
        <f>HYPERLINK("https://klasma.github.io/Logging_1430/artfynd/A 62525-2021 artfynd.xlsx", "A 62525-2021")</f>
        <v/>
      </c>
      <c r="X15">
        <f>HYPERLINK("https://klasma.github.io/Logging_1430/kartor/A 62525-2021 karta.png", "A 62525-2021")</f>
        <v/>
      </c>
      <c r="Y15">
        <f>HYPERLINK("https://klasma.github.io/Logging_1430/kartor_geotiff/A 62525-2021 georefererad karta.tif", "A 62525-2021")</f>
        <v/>
      </c>
      <c r="AA15">
        <f>HYPERLINK("https://klasma.github.io/Logging_1430/klagomål/A 62525-2021 FSC-klagomål.docx", "A 62525-2021")</f>
        <v/>
      </c>
      <c r="AB15">
        <f>HYPERLINK("https://klasma.github.io/Logging_1430/klagomålsmail/A 62525-2021 FSC-klagomål mail.docx", "A 62525-2021")</f>
        <v/>
      </c>
      <c r="AC15">
        <f>HYPERLINK("https://klasma.github.io/Logging_1430/tillsyn/A 62525-2021 tillsynsbegäran.docx", "A 62525-2021")</f>
        <v/>
      </c>
      <c r="AD15">
        <f>HYPERLINK("https://klasma.github.io/Logging_1430/tillsynsmail/A 62525-2021 tillsynsbegäran mail.docx", "A 62525-2021")</f>
        <v/>
      </c>
    </row>
    <row r="16" ht="15" customHeight="1">
      <c r="A16" t="inlineStr">
        <is>
          <t>A 37035-2024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45539</v>
      </c>
      <c r="E16" s="1" t="n">
        <v>46323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Övriga Aktiebolag</t>
        </is>
      </c>
      <c r="I16" t="n">
        <v>43.6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HYPERLINK("https://klasma.github.io/Logging_1430/artfynd/A 37035-2024 artfynd.xlsx", "A 37035-2024")</f>
        <v/>
      </c>
      <c r="X16">
        <f>HYPERLINK("https://klasma.github.io/Logging_1430/kartor/A 37035-2024 karta.png", "A 37035-2024")</f>
        <v/>
      </c>
      <c r="Y16">
        <f>HYPERLINK("https://klasma.github.io/Logging_1430/kartor_geotiff/A 37035-2024 georefererad karta.tif", "A 37035-2024")</f>
        <v/>
      </c>
      <c r="AA16">
        <f>HYPERLINK("https://klasma.github.io/Logging_1430/klagomål/A 37035-2024 FSC-klagomål.docx", "A 37035-2024")</f>
        <v/>
      </c>
      <c r="AB16">
        <f>HYPERLINK("https://klasma.github.io/Logging_1430/klagomålsmail/A 37035-2024 FSC-klagomål mail.docx", "A 37035-2024")</f>
        <v/>
      </c>
      <c r="AC16">
        <f>HYPERLINK("https://klasma.github.io/Logging_1430/tillsyn/A 37035-2024 tillsynsbegäran.docx", "A 37035-2024")</f>
        <v/>
      </c>
      <c r="AD16">
        <f>HYPERLINK("https://klasma.github.io/Logging_1430/tillsynsmail/A 37035-2024 tillsynsbegäran mail.docx", "A 37035-2024")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46323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46323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58890-2022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46323</v>
      </c>
      <c r="F19" t="inlineStr">
        <is>
          <t>VÄSTRA GÖTALANDS LÄN</t>
        </is>
      </c>
      <c r="G19" t="inlineStr">
        <is>
          <t>MUNKEDAL</t>
        </is>
      </c>
      <c r="I19" t="n">
        <v>5.4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revmossa</t>
        </is>
      </c>
      <c r="W19">
        <f>HYPERLINK("https://klasma.github.io/Logging_1430/artfynd/A 58890-2022 artfynd.xlsx", "A 58890-2022")</f>
        <v/>
      </c>
      <c r="X19">
        <f>HYPERLINK("https://klasma.github.io/Logging_1430/kartor/A 58890-2022 karta.png", "A 58890-2022")</f>
        <v/>
      </c>
      <c r="Y19">
        <f>HYPERLINK("https://klasma.github.io/Logging_1430/kartor_geotiff/A 58890-2022 georefererad karta.tif", "A 58890-2022")</f>
        <v/>
      </c>
      <c r="AA19">
        <f>HYPERLINK("https://klasma.github.io/Logging_1430/klagomål/A 58890-2022 FSC-klagomål.docx", "A 58890-2022")</f>
        <v/>
      </c>
      <c r="AB19">
        <f>HYPERLINK("https://klasma.github.io/Logging_1430/klagomålsmail/A 58890-2022 FSC-klagomål mail.docx", "A 58890-2022")</f>
        <v/>
      </c>
      <c r="AC19">
        <f>HYPERLINK("https://klasma.github.io/Logging_1430/tillsyn/A 58890-2022 tillsynsbegäran.docx", "A 58890-2022")</f>
        <v/>
      </c>
      <c r="AD19">
        <f>HYPERLINK("https://klasma.github.io/Logging_1430/tillsynsmail/A 58890-2022 tillsynsbegäran mail.docx", "A 58890-2022")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46323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45160-2024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46323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Naturvårdsverket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HYPERLINK("https://klasma.github.io/Logging_1430/artfynd/A 45160-2024 artfynd.xlsx", "A 45160-2024")</f>
        <v/>
      </c>
      <c r="X21">
        <f>HYPERLINK("https://klasma.github.io/Logging_1430/kartor/A 45160-2024 karta.png", "A 45160-2024")</f>
        <v/>
      </c>
      <c r="Y21">
        <f>HYPERLINK("https://klasma.github.io/Logging_1430/kartor_geotiff/A 45160-2024 georefererad karta.tif", "A 45160-2024")</f>
        <v/>
      </c>
      <c r="AA21">
        <f>HYPERLINK("https://klasma.github.io/Logging_1430/klagomål/A 45160-2024 FSC-klagomål.docx", "A 45160-2024")</f>
        <v/>
      </c>
      <c r="AB21">
        <f>HYPERLINK("https://klasma.github.io/Logging_1430/klagomålsmail/A 45160-2024 FSC-klagomål mail.docx", "A 45160-2024")</f>
        <v/>
      </c>
      <c r="AC21">
        <f>HYPERLINK("https://klasma.github.io/Logging_1430/tillsyn/A 45160-2024 tillsynsbegäran.docx", "A 45160-2024")</f>
        <v/>
      </c>
      <c r="AD21">
        <f>HYPERLINK("https://klasma.github.io/Logging_1430/tillsynsmail/A 45160-2024 tillsynsbegäran mail.docx", "A 45160-2024")</f>
        <v/>
      </c>
      <c r="AE21">
        <f>HYPERLINK("https://klasma.github.io/Logging_1430/fåglar/A 45160-2024 prioriterade fågelarter.docx", "A 45160-2024")</f>
        <v/>
      </c>
    </row>
    <row r="22" ht="15" customHeight="1">
      <c r="A22" t="inlineStr">
        <is>
          <t>A 2887-2025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45677</v>
      </c>
      <c r="E22" s="1" t="n">
        <v>46323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9.699999999999999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Krusfrö</t>
        </is>
      </c>
      <c r="W22">
        <f>HYPERLINK("https://klasma.github.io/Logging_1430/artfynd/A 2887-2025 artfynd.xlsx", "A 2887-2025")</f>
        <v/>
      </c>
      <c r="X22">
        <f>HYPERLINK("https://klasma.github.io/Logging_1430/kartor/A 2887-2025 karta.png", "A 2887-2025")</f>
        <v/>
      </c>
      <c r="Y22">
        <f>HYPERLINK("https://klasma.github.io/Logging_1430/kartor_geotiff/A 2887-2025 georefererad karta.tif", "A 2887-2025")</f>
        <v/>
      </c>
      <c r="AA22">
        <f>HYPERLINK("https://klasma.github.io/Logging_1430/klagomål/A 2887-2025 FSC-klagomål.docx", "A 2887-2025")</f>
        <v/>
      </c>
      <c r="AB22">
        <f>HYPERLINK("https://klasma.github.io/Logging_1430/klagomålsmail/A 2887-2025 FSC-klagomål mail.docx", "A 2887-2025")</f>
        <v/>
      </c>
      <c r="AC22">
        <f>HYPERLINK("https://klasma.github.io/Logging_1430/tillsyn/A 2887-2025 tillsynsbegäran.docx", "A 2887-2025")</f>
        <v/>
      </c>
      <c r="AD22">
        <f>HYPERLINK("https://klasma.github.io/Logging_1430/tillsynsmail/A 2887-2025 tillsynsbegäran mail.docx", "A 2887-2025")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46323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46323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2555-2023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46323</v>
      </c>
      <c r="F25" t="inlineStr">
        <is>
          <t>VÄSTRA GÖTALANDS LÄN</t>
        </is>
      </c>
      <c r="G25" t="inlineStr">
        <is>
          <t>MUNKEDAL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HYPERLINK("https://klasma.github.io/Logging_1430/artfynd/A 2555-2023 artfynd.xlsx", "A 2555-2023")</f>
        <v/>
      </c>
      <c r="X25">
        <f>HYPERLINK("https://klasma.github.io/Logging_1430/kartor/A 2555-2023 karta.png", "A 2555-2023")</f>
        <v/>
      </c>
      <c r="Y25">
        <f>HYPERLINK("https://klasma.github.io/Logging_1430/kartor_geotiff/A 2555-2023 georefererad karta.tif", "A 2555-2023")</f>
        <v/>
      </c>
      <c r="AA25">
        <f>HYPERLINK("https://klasma.github.io/Logging_1430/klagomål/A 2555-2023 FSC-klagomål.docx", "A 2555-2023")</f>
        <v/>
      </c>
      <c r="AB25">
        <f>HYPERLINK("https://klasma.github.io/Logging_1430/klagomålsmail/A 2555-2023 FSC-klagomål mail.docx", "A 2555-2023")</f>
        <v/>
      </c>
      <c r="AC25">
        <f>HYPERLINK("https://klasma.github.io/Logging_1430/tillsyn/A 2555-2023 tillsynsbegäran.docx", "A 2555-2023")</f>
        <v/>
      </c>
      <c r="AD25">
        <f>HYPERLINK("https://klasma.github.io/Logging_1430/tillsynsmail/A 2555-2023 tillsynsbegäran mail.docx", "A 2555-2023")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46323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46323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46323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46323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46323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46323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46323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46323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46323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46323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46323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46323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46323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46323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46323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46323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46323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46323</v>
      </c>
      <c r="F43" t="inlineStr">
        <is>
          <t>VÄSTRA GÖTALANDS LÄN</t>
        </is>
      </c>
      <c r="G43" t="inlineStr">
        <is>
          <t>MUNKEDAL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44683</v>
      </c>
      <c r="E44" s="1" t="n">
        <v>46323</v>
      </c>
      <c r="F44" t="inlineStr">
        <is>
          <t>VÄSTRA GÖTALANDS LÄN</t>
        </is>
      </c>
      <c r="G44" t="inlineStr">
        <is>
          <t>MUNKEDAL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68596-2021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46323</v>
      </c>
      <c r="F45" t="inlineStr">
        <is>
          <t>VÄSTRA GÖTALANDS LÄN</t>
        </is>
      </c>
      <c r="G45" t="inlineStr">
        <is>
          <t>MUNKEDAL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46323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44609</v>
      </c>
      <c r="E47" s="1" t="n">
        <v>46323</v>
      </c>
      <c r="F47" t="inlineStr">
        <is>
          <t>VÄSTRA GÖTALANDS LÄN</t>
        </is>
      </c>
      <c r="G47" t="inlineStr">
        <is>
          <t>MUNKEDAL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46323</v>
      </c>
      <c r="F48" t="inlineStr">
        <is>
          <t>VÄSTRA GÖTALANDS LÄN</t>
        </is>
      </c>
      <c r="G48" t="inlineStr">
        <is>
          <t>MUNKEDAL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46323</v>
      </c>
      <c r="F49" t="inlineStr">
        <is>
          <t>VÄSTRA GÖTALANDS LÄN</t>
        </is>
      </c>
      <c r="G49" t="inlineStr">
        <is>
          <t>MUNKEDAL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44993</v>
      </c>
      <c r="E50" s="1" t="n">
        <v>46323</v>
      </c>
      <c r="F50" t="inlineStr">
        <is>
          <t>VÄSTRA GÖTALANDS LÄN</t>
        </is>
      </c>
      <c r="G50" t="inlineStr">
        <is>
          <t>MUNKEDAL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46323</v>
      </c>
      <c r="F51" t="inlineStr">
        <is>
          <t>VÄSTRA GÖTALANDS LÄN</t>
        </is>
      </c>
      <c r="G51" t="inlineStr">
        <is>
          <t>MUNKEDAL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45618</v>
      </c>
      <c r="E52" s="1" t="n">
        <v>46323</v>
      </c>
      <c r="F52" t="inlineStr">
        <is>
          <t>VÄSTRA GÖTALANDS LÄN</t>
        </is>
      </c>
      <c r="G52" t="inlineStr">
        <is>
          <t>MUNKEDAL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44704</v>
      </c>
      <c r="E53" s="1" t="n">
        <v>46323</v>
      </c>
      <c r="F53" t="inlineStr">
        <is>
          <t>VÄSTRA GÖTALANDS LÄN</t>
        </is>
      </c>
      <c r="G53" t="inlineStr">
        <is>
          <t>MUNKEDAL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46323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46323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46323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44774</v>
      </c>
      <c r="E57" s="1" t="n">
        <v>46323</v>
      </c>
      <c r="F57" t="inlineStr">
        <is>
          <t>VÄSTRA GÖTALANDS LÄN</t>
        </is>
      </c>
      <c r="G57" t="inlineStr">
        <is>
          <t>MUNKEDAL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11425-2022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44630</v>
      </c>
      <c r="E58" s="1" t="n">
        <v>46323</v>
      </c>
      <c r="F58" t="inlineStr">
        <is>
          <t>VÄSTRA GÖTALANDS LÄN</t>
        </is>
      </c>
      <c r="G58" t="inlineStr">
        <is>
          <t>MUNKEDAL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45640</v>
      </c>
      <c r="E59" s="1" t="n">
        <v>46323</v>
      </c>
      <c r="F59" t="inlineStr">
        <is>
          <t>VÄSTRA GÖTALANDS LÄN</t>
        </is>
      </c>
      <c r="G59" t="inlineStr">
        <is>
          <t>MUNKEDAL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45636</v>
      </c>
      <c r="E60" s="1" t="n">
        <v>46323</v>
      </c>
      <c r="F60" t="inlineStr">
        <is>
          <t>VÄSTRA GÖTALANDS LÄN</t>
        </is>
      </c>
      <c r="G60" t="inlineStr">
        <is>
          <t>MUNKEDAL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58617-2023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45251</v>
      </c>
      <c r="E61" s="1" t="n">
        <v>46323</v>
      </c>
      <c r="F61" t="inlineStr">
        <is>
          <t>VÄSTRA GÖTALANDS LÄN</t>
        </is>
      </c>
      <c r="G61" t="inlineStr">
        <is>
          <t>MUNKEDAL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45147</v>
      </c>
      <c r="E62" s="1" t="n">
        <v>46323</v>
      </c>
      <c r="F62" t="inlineStr">
        <is>
          <t>VÄSTRA GÖTALANDS LÄN</t>
        </is>
      </c>
      <c r="G62" t="inlineStr">
        <is>
          <t>MUNKEDAL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46323</v>
      </c>
      <c r="F63" t="inlineStr">
        <is>
          <t>VÄSTRA GÖTALANDS LÄN</t>
        </is>
      </c>
      <c r="G63" t="inlineStr">
        <is>
          <t>MUNKEDAL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46323</v>
      </c>
      <c r="F64" t="inlineStr">
        <is>
          <t>VÄSTRA GÖTALANDS LÄN</t>
        </is>
      </c>
      <c r="G64" t="inlineStr">
        <is>
          <t>MUNKEDAL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45620</v>
      </c>
      <c r="E65" s="1" t="n">
        <v>46323</v>
      </c>
      <c r="F65" t="inlineStr">
        <is>
          <t>VÄSTRA GÖTALANDS LÄN</t>
        </is>
      </c>
      <c r="G65" t="inlineStr">
        <is>
          <t>MUNKEDAL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45684</v>
      </c>
      <c r="E66" s="1" t="n">
        <v>46323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Kommuner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46323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46323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46323</v>
      </c>
      <c r="F69" t="inlineStr">
        <is>
          <t>VÄSTRA GÖTALANDS LÄN</t>
        </is>
      </c>
      <c r="G69" t="inlineStr">
        <is>
          <t>MUNKEDAL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46323</v>
      </c>
      <c r="F70" t="inlineStr">
        <is>
          <t>VÄSTRA GÖTALANDS LÄN</t>
        </is>
      </c>
      <c r="G70" t="inlineStr">
        <is>
          <t>MUNKEDAL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45618</v>
      </c>
      <c r="E71" s="1" t="n">
        <v>46323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46323</v>
      </c>
      <c r="F72" t="inlineStr">
        <is>
          <t>VÄSTRA GÖTALANDS LÄN</t>
        </is>
      </c>
      <c r="G72" t="inlineStr">
        <is>
          <t>MUNKEDAL</t>
        </is>
      </c>
      <c r="I72" t="n">
        <v>15.4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45664</v>
      </c>
      <c r="E73" s="1" t="n">
        <v>46323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18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62098-2022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44920</v>
      </c>
      <c r="E74" s="1" t="n">
        <v>46323</v>
      </c>
      <c r="F74" t="inlineStr">
        <is>
          <t>VÄSTRA GÖTALANDS LÄN</t>
        </is>
      </c>
      <c r="G74" t="inlineStr">
        <is>
          <t>MUNKEDAL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44920</v>
      </c>
      <c r="E75" s="1" t="n">
        <v>46323</v>
      </c>
      <c r="F75" t="inlineStr">
        <is>
          <t>VÄSTRA GÖTALANDS LÄN</t>
        </is>
      </c>
      <c r="G75" t="inlineStr">
        <is>
          <t>MUNKEDAL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45582</v>
      </c>
      <c r="E76" s="1" t="n">
        <v>46323</v>
      </c>
      <c r="F76" t="inlineStr">
        <is>
          <t>VÄSTRA GÖTALANDS LÄN</t>
        </is>
      </c>
      <c r="G76" t="inlineStr">
        <is>
          <t>MUNKEDAL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46323</v>
      </c>
      <c r="F77" t="inlineStr">
        <is>
          <t>VÄSTRA GÖTALANDS LÄN</t>
        </is>
      </c>
      <c r="G77" t="inlineStr">
        <is>
          <t>MUNKEDAL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46323</v>
      </c>
      <c r="F78" t="inlineStr">
        <is>
          <t>VÄSTRA GÖTALANDS LÄN</t>
        </is>
      </c>
      <c r="G78" t="inlineStr">
        <is>
          <t>MUNKEDAL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45261</v>
      </c>
      <c r="E79" s="1" t="n">
        <v>46323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46323</v>
      </c>
      <c r="F80" t="inlineStr">
        <is>
          <t>VÄSTRA GÖTALANDS LÄN</t>
        </is>
      </c>
      <c r="G80" t="inlineStr">
        <is>
          <t>MUNKEDAL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45127</v>
      </c>
      <c r="E81" s="1" t="n">
        <v>46323</v>
      </c>
      <c r="F81" t="inlineStr">
        <is>
          <t>VÄSTRA GÖTALANDS LÄN</t>
        </is>
      </c>
      <c r="G81" t="inlineStr">
        <is>
          <t>MUNKEDAL</t>
        </is>
      </c>
      <c r="I81" t="n">
        <v>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46323</v>
      </c>
      <c r="F82" t="inlineStr">
        <is>
          <t>VÄSTRA GÖTALANDS LÄN</t>
        </is>
      </c>
      <c r="G82" t="inlineStr">
        <is>
          <t>MUNKEDAL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45005</v>
      </c>
      <c r="E83" s="1" t="n">
        <v>46323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46323</v>
      </c>
      <c r="F84" t="inlineStr">
        <is>
          <t>VÄSTRA GÖTALANDS LÄN</t>
        </is>
      </c>
      <c r="G84" t="inlineStr">
        <is>
          <t>MUNKEDAL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46323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Kyrkan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46323</v>
      </c>
      <c r="F86" t="inlineStr">
        <is>
          <t>VÄSTRA GÖTALANDS LÄN</t>
        </is>
      </c>
      <c r="G86" t="inlineStr">
        <is>
          <t>MUNKEDAL</t>
        </is>
      </c>
      <c r="I86" t="n">
        <v>25.2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46323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46323</v>
      </c>
      <c r="F88" t="inlineStr">
        <is>
          <t>VÄSTRA GÖTALANDS LÄN</t>
        </is>
      </c>
      <c r="G88" t="inlineStr">
        <is>
          <t>MUNKEDAL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46323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45489</v>
      </c>
      <c r="E90" s="1" t="n">
        <v>46323</v>
      </c>
      <c r="F90" t="inlineStr">
        <is>
          <t>VÄSTRA GÖTALANDS LÄN</t>
        </is>
      </c>
      <c r="G90" t="inlineStr">
        <is>
          <t>MUNKEDAL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46323</v>
      </c>
      <c r="F91" t="inlineStr">
        <is>
          <t>VÄSTRA GÖTALANDS LÄN</t>
        </is>
      </c>
      <c r="G91" t="inlineStr">
        <is>
          <t>MUNKEDAL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46323</v>
      </c>
      <c r="F92" t="inlineStr">
        <is>
          <t>VÄSTRA GÖTALANDS LÄN</t>
        </is>
      </c>
      <c r="G92" t="inlineStr">
        <is>
          <t>MUNKEDAL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45478</v>
      </c>
      <c r="E93" s="1" t="n">
        <v>46323</v>
      </c>
      <c r="F93" t="inlineStr">
        <is>
          <t>VÄSTRA GÖTALANDS LÄN</t>
        </is>
      </c>
      <c r="G93" t="inlineStr">
        <is>
          <t>MUNKEDAL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45678</v>
      </c>
      <c r="E94" s="1" t="n">
        <v>46323</v>
      </c>
      <c r="F94" t="inlineStr">
        <is>
          <t>VÄSTRA GÖTALANDS LÄN</t>
        </is>
      </c>
      <c r="G94" t="inlineStr">
        <is>
          <t>MUNKEDAL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46323</v>
      </c>
      <c r="F95" t="inlineStr">
        <is>
          <t>VÄSTRA GÖTALANDS LÄN</t>
        </is>
      </c>
      <c r="G95" t="inlineStr">
        <is>
          <t>MUNKEDAL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45684</v>
      </c>
      <c r="E96" s="1" t="n">
        <v>46323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Kommuner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46323</v>
      </c>
      <c r="F97" t="inlineStr">
        <is>
          <t>VÄSTRA GÖTALANDS LÄN</t>
        </is>
      </c>
      <c r="G97" t="inlineStr">
        <is>
          <t>MUNKEDAL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46323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44935</v>
      </c>
      <c r="E99" s="1" t="n">
        <v>46323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46323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46323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46323</v>
      </c>
      <c r="F102" t="inlineStr">
        <is>
          <t>VÄSTRA GÖTALANDS LÄN</t>
        </is>
      </c>
      <c r="G102" t="inlineStr">
        <is>
          <t>MUNKEDAL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46323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Kommuner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46323</v>
      </c>
      <c r="F104" t="inlineStr">
        <is>
          <t>VÄSTRA GÖTALANDS LÄN</t>
        </is>
      </c>
      <c r="G104" t="inlineStr">
        <is>
          <t>MUNKEDAL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45902</v>
      </c>
      <c r="E105" s="1" t="n">
        <v>46323</v>
      </c>
      <c r="F105" t="inlineStr">
        <is>
          <t>VÄSTRA GÖTALANDS LÄN</t>
        </is>
      </c>
      <c r="G105" t="inlineStr">
        <is>
          <t>MUNKEDAL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46323</v>
      </c>
      <c r="F106" t="inlineStr">
        <is>
          <t>VÄSTRA GÖTALANDS LÄN</t>
        </is>
      </c>
      <c r="G106" t="inlineStr">
        <is>
          <t>MUNKEDAL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45055</v>
      </c>
      <c r="E107" s="1" t="n">
        <v>46323</v>
      </c>
      <c r="F107" t="inlineStr">
        <is>
          <t>VÄSTRA GÖTALANDS LÄN</t>
        </is>
      </c>
      <c r="G107" t="inlineStr">
        <is>
          <t>MUNKEDAL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46323</v>
      </c>
      <c r="F108" t="inlineStr">
        <is>
          <t>VÄSTRA GÖTALANDS LÄN</t>
        </is>
      </c>
      <c r="G108" t="inlineStr">
        <is>
          <t>MUNKEDAL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46323</v>
      </c>
      <c r="F109" t="inlineStr">
        <is>
          <t>VÄSTRA GÖTALANDS LÄN</t>
        </is>
      </c>
      <c r="G109" t="inlineStr">
        <is>
          <t>MUNKEDAL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46323</v>
      </c>
      <c r="F110" t="inlineStr">
        <is>
          <t>VÄSTRA GÖTALANDS LÄN</t>
        </is>
      </c>
      <c r="G110" t="inlineStr">
        <is>
          <t>MUNKEDAL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46323</v>
      </c>
      <c r="F111" t="inlineStr">
        <is>
          <t>VÄSTRA GÖTALANDS LÄN</t>
        </is>
      </c>
      <c r="G111" t="inlineStr">
        <is>
          <t>MUNKEDAL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46323</v>
      </c>
      <c r="F112" t="inlineStr">
        <is>
          <t>VÄSTRA GÖTALANDS LÄN</t>
        </is>
      </c>
      <c r="G112" t="inlineStr">
        <is>
          <t>MUNKEDAL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46323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46323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46323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Naturvårdsverket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46323</v>
      </c>
      <c r="F116" t="inlineStr">
        <is>
          <t>VÄSTRA GÖTALANDS LÄN</t>
        </is>
      </c>
      <c r="G116" t="inlineStr">
        <is>
          <t>MUNKEDAL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46323</v>
      </c>
      <c r="F117" t="inlineStr">
        <is>
          <t>VÄSTRA GÖTALANDS LÄN</t>
        </is>
      </c>
      <c r="G117" t="inlineStr">
        <is>
          <t>MUNKEDAL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46323</v>
      </c>
      <c r="F118" t="inlineStr">
        <is>
          <t>VÄSTRA GÖTALANDS LÄN</t>
        </is>
      </c>
      <c r="G118" t="inlineStr">
        <is>
          <t>MUNKEDAL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46323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46323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Naturvårdsverket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46323</v>
      </c>
      <c r="F121" t="inlineStr">
        <is>
          <t>VÄSTRA GÖTALANDS LÄN</t>
        </is>
      </c>
      <c r="G121" t="inlineStr">
        <is>
          <t>MUNKEDAL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46323</v>
      </c>
      <c r="F122" t="inlineStr">
        <is>
          <t>VÄSTRA GÖTALANDS LÄN</t>
        </is>
      </c>
      <c r="G122" t="inlineStr">
        <is>
          <t>MUNKEDAL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46323</v>
      </c>
      <c r="F123" t="inlineStr">
        <is>
          <t>VÄSTRA GÖTALANDS LÄN</t>
        </is>
      </c>
      <c r="G123" t="inlineStr">
        <is>
          <t>MUNKEDAL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46323</v>
      </c>
      <c r="F124" t="inlineStr">
        <is>
          <t>VÄSTRA GÖTALANDS LÄN</t>
        </is>
      </c>
      <c r="G124" t="inlineStr">
        <is>
          <t>MUNKEDAL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46323</v>
      </c>
      <c r="F125" t="inlineStr">
        <is>
          <t>VÄSTRA GÖTALANDS LÄN</t>
        </is>
      </c>
      <c r="G125" t="inlineStr">
        <is>
          <t>MUNKEDAL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46323</v>
      </c>
      <c r="F126" t="inlineStr">
        <is>
          <t>VÄSTRA GÖTALANDS LÄN</t>
        </is>
      </c>
      <c r="G126" t="inlineStr">
        <is>
          <t>MUNKEDAL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46323</v>
      </c>
      <c r="F127" t="inlineStr">
        <is>
          <t>VÄSTRA GÖTALANDS LÄN</t>
        </is>
      </c>
      <c r="G127" t="inlineStr">
        <is>
          <t>MUNKEDAL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46323</v>
      </c>
      <c r="F128" t="inlineStr">
        <is>
          <t>VÄSTRA GÖTALANDS LÄN</t>
        </is>
      </c>
      <c r="G128" t="inlineStr">
        <is>
          <t>MUNKEDAL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45921</v>
      </c>
      <c r="E129" s="1" t="n">
        <v>46323</v>
      </c>
      <c r="F129" t="inlineStr">
        <is>
          <t>VÄSTRA GÖTALANDS LÄN</t>
        </is>
      </c>
      <c r="G129" t="inlineStr">
        <is>
          <t>MUNKEDAL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46323</v>
      </c>
      <c r="F130" t="inlineStr">
        <is>
          <t>VÄSTRA GÖTALANDS LÄN</t>
        </is>
      </c>
      <c r="G130" t="inlineStr">
        <is>
          <t>MUNKEDAL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46323</v>
      </c>
      <c r="F131" t="inlineStr">
        <is>
          <t>VÄSTRA GÖTALANDS LÄN</t>
        </is>
      </c>
      <c r="G131" t="inlineStr">
        <is>
          <t>MUNKEDAL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46323</v>
      </c>
      <c r="F132" t="inlineStr">
        <is>
          <t>VÄSTRA GÖTALANDS LÄN</t>
        </is>
      </c>
      <c r="G132" t="inlineStr">
        <is>
          <t>MUNKEDAL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45667</v>
      </c>
      <c r="E133" s="1" t="n">
        <v>46323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46323</v>
      </c>
      <c r="F134" t="inlineStr">
        <is>
          <t>VÄSTRA GÖTALANDS LÄN</t>
        </is>
      </c>
      <c r="G134" t="inlineStr">
        <is>
          <t>MUNKEDAL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45488</v>
      </c>
      <c r="E135" s="1" t="n">
        <v>46323</v>
      </c>
      <c r="F135" t="inlineStr">
        <is>
          <t>VÄSTRA GÖTALANDS LÄN</t>
        </is>
      </c>
      <c r="G135" t="inlineStr">
        <is>
          <t>MUNKEDAL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46323</v>
      </c>
      <c r="F136" t="inlineStr">
        <is>
          <t>VÄSTRA GÖTALANDS LÄN</t>
        </is>
      </c>
      <c r="G136" t="inlineStr">
        <is>
          <t>MUNKEDAL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46323</v>
      </c>
      <c r="F137" t="inlineStr">
        <is>
          <t>VÄSTRA GÖTALANDS LÄN</t>
        </is>
      </c>
      <c r="G137" t="inlineStr">
        <is>
          <t>MUNKEDAL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45362</v>
      </c>
      <c r="E138" s="1" t="n">
        <v>46323</v>
      </c>
      <c r="F138" t="inlineStr">
        <is>
          <t>VÄSTRA GÖTALANDS LÄN</t>
        </is>
      </c>
      <c r="G138" t="inlineStr">
        <is>
          <t>MUNKEDAL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46323</v>
      </c>
      <c r="F139" t="inlineStr">
        <is>
          <t>VÄSTRA GÖTALANDS LÄN</t>
        </is>
      </c>
      <c r="G139" t="inlineStr">
        <is>
          <t>MUNKEDAL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46323</v>
      </c>
      <c r="F140" t="inlineStr">
        <is>
          <t>VÄSTRA GÖTALANDS LÄN</t>
        </is>
      </c>
      <c r="G140" t="inlineStr">
        <is>
          <t>MUNKEDAL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46323</v>
      </c>
      <c r="F141" t="inlineStr">
        <is>
          <t>VÄSTRA GÖTALANDS LÄN</t>
        </is>
      </c>
      <c r="G141" t="inlineStr">
        <is>
          <t>MUNKEDAL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46323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45778</v>
      </c>
      <c r="E143" s="1" t="n">
        <v>46323</v>
      </c>
      <c r="F143" t="inlineStr">
        <is>
          <t>VÄSTRA GÖTALANDS LÄN</t>
        </is>
      </c>
      <c r="G143" t="inlineStr">
        <is>
          <t>MUNKEDAL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45296</v>
      </c>
      <c r="E144" s="1" t="n">
        <v>46323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46323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46323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46323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46323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46323</v>
      </c>
      <c r="F149" t="inlineStr">
        <is>
          <t>VÄSTRA GÖTALANDS LÄN</t>
        </is>
      </c>
      <c r="G149" t="inlineStr">
        <is>
          <t>MUNKEDAL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46323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46323</v>
      </c>
      <c r="F151" t="inlineStr">
        <is>
          <t>VÄSTRA GÖTALANDS LÄN</t>
        </is>
      </c>
      <c r="G151" t="inlineStr">
        <is>
          <t>MUNKEDAL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45378</v>
      </c>
      <c r="E152" s="1" t="n">
        <v>46323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46323</v>
      </c>
      <c r="F153" t="inlineStr">
        <is>
          <t>VÄSTRA GÖTALANDS LÄN</t>
        </is>
      </c>
      <c r="G153" t="inlineStr">
        <is>
          <t>MUNKEDAL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46323</v>
      </c>
      <c r="F154" t="inlineStr">
        <is>
          <t>VÄSTRA GÖTALANDS LÄN</t>
        </is>
      </c>
      <c r="G154" t="inlineStr">
        <is>
          <t>MUNKEDAL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46323</v>
      </c>
      <c r="F155" t="inlineStr">
        <is>
          <t>VÄSTRA GÖTALANDS LÄN</t>
        </is>
      </c>
      <c r="G155" t="inlineStr">
        <is>
          <t>MUNKEDAL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46323</v>
      </c>
      <c r="F156" t="inlineStr">
        <is>
          <t>VÄSTRA GÖTALANDS LÄN</t>
        </is>
      </c>
      <c r="G156" t="inlineStr">
        <is>
          <t>MUNKEDAL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46323</v>
      </c>
      <c r="F157" t="inlineStr">
        <is>
          <t>VÄSTRA GÖTALANDS LÄN</t>
        </is>
      </c>
      <c r="G157" t="inlineStr">
        <is>
          <t>MUNKEDAL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46323</v>
      </c>
      <c r="F158" t="inlineStr">
        <is>
          <t>VÄSTRA GÖTALANDS LÄN</t>
        </is>
      </c>
      <c r="G158" t="inlineStr">
        <is>
          <t>MUNKEDAL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46323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46323</v>
      </c>
      <c r="F160" t="inlineStr">
        <is>
          <t>VÄSTRA GÖTALANDS LÄN</t>
        </is>
      </c>
      <c r="G160" t="inlineStr">
        <is>
          <t>MUNKEDAL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46323</v>
      </c>
      <c r="F161" t="inlineStr">
        <is>
          <t>VÄSTRA GÖTALANDS LÄN</t>
        </is>
      </c>
      <c r="G161" t="inlineStr">
        <is>
          <t>MUNKEDAL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46323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46323</v>
      </c>
      <c r="F163" t="inlineStr">
        <is>
          <t>VÄSTRA GÖTALANDS LÄN</t>
        </is>
      </c>
      <c r="G163" t="inlineStr">
        <is>
          <t>MUNKEDAL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45148</v>
      </c>
      <c r="E164" s="1" t="n">
        <v>46323</v>
      </c>
      <c r="F164" t="inlineStr">
        <is>
          <t>VÄSTRA GÖTALANDS LÄN</t>
        </is>
      </c>
      <c r="G164" t="inlineStr">
        <is>
          <t>MUNKEDAL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46323</v>
      </c>
      <c r="F165" t="inlineStr">
        <is>
          <t>VÄSTRA GÖTALANDS LÄN</t>
        </is>
      </c>
      <c r="G165" t="inlineStr">
        <is>
          <t>MUNKEDAL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44960</v>
      </c>
      <c r="E166" s="1" t="n">
        <v>46323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46323</v>
      </c>
      <c r="F167" t="inlineStr">
        <is>
          <t>VÄSTRA GÖTALANDS LÄN</t>
        </is>
      </c>
      <c r="G167" t="inlineStr">
        <is>
          <t>MUNKEDAL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45618</v>
      </c>
      <c r="E168" s="1" t="n">
        <v>46323</v>
      </c>
      <c r="F168" t="inlineStr">
        <is>
          <t>VÄSTRA GÖTALANDS LÄN</t>
        </is>
      </c>
      <c r="G168" t="inlineStr">
        <is>
          <t>MUNKEDAL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46323</v>
      </c>
      <c r="F169" t="inlineStr">
        <is>
          <t>VÄSTRA GÖTALANDS LÄN</t>
        </is>
      </c>
      <c r="G169" t="inlineStr">
        <is>
          <t>MUNKEDAL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64879-2023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45282</v>
      </c>
      <c r="E170" s="1" t="n">
        <v>46323</v>
      </c>
      <c r="F170" t="inlineStr">
        <is>
          <t>VÄSTRA GÖTALANDS LÄN</t>
        </is>
      </c>
      <c r="G170" t="inlineStr">
        <is>
          <t>MUNKEDAL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45002</v>
      </c>
      <c r="E171" s="1" t="n">
        <v>46323</v>
      </c>
      <c r="F171" t="inlineStr">
        <is>
          <t>VÄSTRA GÖTALANDS LÄN</t>
        </is>
      </c>
      <c r="G171" t="inlineStr">
        <is>
          <t>MUNKEDAL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45522</v>
      </c>
      <c r="E172" s="1" t="n">
        <v>46323</v>
      </c>
      <c r="F172" t="inlineStr">
        <is>
          <t>VÄSTRA GÖTALANDS LÄN</t>
        </is>
      </c>
      <c r="G172" t="inlineStr">
        <is>
          <t>MUNKEDAL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46323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46323</v>
      </c>
      <c r="F174" t="inlineStr">
        <is>
          <t>VÄSTRA GÖTALANDS LÄN</t>
        </is>
      </c>
      <c r="G174" t="inlineStr">
        <is>
          <t>MUNKEDAL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46323</v>
      </c>
      <c r="F175" t="inlineStr">
        <is>
          <t>VÄSTRA GÖTALANDS LÄN</t>
        </is>
      </c>
      <c r="G175" t="inlineStr">
        <is>
          <t>MUNKEDAL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46323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Kyrkan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46323</v>
      </c>
      <c r="F177" t="inlineStr">
        <is>
          <t>VÄSTRA GÖTALANDS LÄN</t>
        </is>
      </c>
      <c r="G177" t="inlineStr">
        <is>
          <t>MUNKEDAL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46323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46323</v>
      </c>
      <c r="F179" t="inlineStr">
        <is>
          <t>VÄSTRA GÖTALANDS LÄN</t>
        </is>
      </c>
      <c r="G179" t="inlineStr">
        <is>
          <t>MUNKEDAL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46323</v>
      </c>
      <c r="F180" t="inlineStr">
        <is>
          <t>VÄSTRA GÖTALANDS LÄN</t>
        </is>
      </c>
      <c r="G180" t="inlineStr">
        <is>
          <t>MUNKEDAL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46323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46323</v>
      </c>
      <c r="F182" t="inlineStr">
        <is>
          <t>VÄSTRA GÖTALANDS LÄN</t>
        </is>
      </c>
      <c r="G182" t="inlineStr">
        <is>
          <t>MUNKEDAL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45127</v>
      </c>
      <c r="E183" s="1" t="n">
        <v>46323</v>
      </c>
      <c r="F183" t="inlineStr">
        <is>
          <t>VÄSTRA GÖTALANDS LÄN</t>
        </is>
      </c>
      <c r="G183" t="inlineStr">
        <is>
          <t>MUNKEDAL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46323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46323</v>
      </c>
      <c r="F185" t="inlineStr">
        <is>
          <t>VÄSTRA GÖTALANDS LÄN</t>
        </is>
      </c>
      <c r="G185" t="inlineStr">
        <is>
          <t>MUNKEDAL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45233</v>
      </c>
      <c r="E186" s="1" t="n">
        <v>46323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46323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46323</v>
      </c>
      <c r="F188" t="inlineStr">
        <is>
          <t>VÄSTRA GÖTALANDS LÄN</t>
        </is>
      </c>
      <c r="G188" t="inlineStr">
        <is>
          <t>MUNKEDAL</t>
        </is>
      </c>
      <c r="I188" t="n">
        <v>17.5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46323</v>
      </c>
      <c r="F189" t="inlineStr">
        <is>
          <t>VÄSTRA GÖTALANDS LÄN</t>
        </is>
      </c>
      <c r="G189" t="inlineStr">
        <is>
          <t>MUNKEDAL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46323</v>
      </c>
      <c r="F190" t="inlineStr">
        <is>
          <t>VÄSTRA GÖTALANDS LÄN</t>
        </is>
      </c>
      <c r="G190" t="inlineStr">
        <is>
          <t>MUNKEDAL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46323</v>
      </c>
      <c r="F191" t="inlineStr">
        <is>
          <t>VÄSTRA GÖTALANDS LÄN</t>
        </is>
      </c>
      <c r="G191" t="inlineStr">
        <is>
          <t>MUNKEDAL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46002</v>
      </c>
      <c r="E192" s="1" t="n">
        <v>46323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46323</v>
      </c>
      <c r="F193" t="inlineStr">
        <is>
          <t>VÄSTRA GÖTALANDS LÄN</t>
        </is>
      </c>
      <c r="G193" t="inlineStr">
        <is>
          <t>MUNKEDAL</t>
        </is>
      </c>
      <c r="I193" t="n">
        <v>16.3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46323</v>
      </c>
      <c r="F194" t="inlineStr">
        <is>
          <t>VÄSTRA GÖTALANDS LÄN</t>
        </is>
      </c>
      <c r="G194" t="inlineStr">
        <is>
          <t>MUNKEDAL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46323</v>
      </c>
      <c r="F195" t="inlineStr">
        <is>
          <t>VÄSTRA GÖTALANDS LÄN</t>
        </is>
      </c>
      <c r="G195" t="inlineStr">
        <is>
          <t>MUNKEDAL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45640</v>
      </c>
      <c r="E196" s="1" t="n">
        <v>46323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46323</v>
      </c>
      <c r="F197" t="inlineStr">
        <is>
          <t>VÄSTRA GÖTALANDS LÄN</t>
        </is>
      </c>
      <c r="G197" t="inlineStr">
        <is>
          <t>MUNKEDAL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44749</v>
      </c>
      <c r="E198" s="1" t="n">
        <v>46323</v>
      </c>
      <c r="F198" t="inlineStr">
        <is>
          <t>VÄSTRA GÖTALANDS LÄN</t>
        </is>
      </c>
      <c r="G198" t="inlineStr">
        <is>
          <t>MUNKEDAL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29707-2022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44755</v>
      </c>
      <c r="E199" s="1" t="n">
        <v>46323</v>
      </c>
      <c r="F199" t="inlineStr">
        <is>
          <t>VÄSTRA GÖTALANDS LÄN</t>
        </is>
      </c>
      <c r="G199" t="inlineStr">
        <is>
          <t>MUNKEDAL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46323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Naturvårdsverket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46323</v>
      </c>
      <c r="F201" t="inlineStr">
        <is>
          <t>VÄSTRA GÖTALANDS LÄN</t>
        </is>
      </c>
      <c r="G201" t="inlineStr">
        <is>
          <t>MUNKEDAL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46323</v>
      </c>
      <c r="F202" t="inlineStr">
        <is>
          <t>VÄSTRA GÖTALANDS LÄN</t>
        </is>
      </c>
      <c r="G202" t="inlineStr">
        <is>
          <t>MUNKEDAL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46323</v>
      </c>
      <c r="F203" t="inlineStr">
        <is>
          <t>VÄSTRA GÖTALANDS LÄN</t>
        </is>
      </c>
      <c r="G203" t="inlineStr">
        <is>
          <t>MUNKEDAL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46323</v>
      </c>
      <c r="F204" t="inlineStr">
        <is>
          <t>VÄSTRA GÖTALANDS LÄN</t>
        </is>
      </c>
      <c r="G204" t="inlineStr">
        <is>
          <t>MUNKEDAL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46323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46323</v>
      </c>
      <c r="F206" t="inlineStr">
        <is>
          <t>VÄSTRA GÖTALANDS LÄN</t>
        </is>
      </c>
      <c r="G206" t="inlineStr">
        <is>
          <t>MUNKEDAL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46323</v>
      </c>
      <c r="F207" t="inlineStr">
        <is>
          <t>VÄSTRA GÖTALANDS LÄN</t>
        </is>
      </c>
      <c r="G207" t="inlineStr">
        <is>
          <t>MUNKEDAL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46323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46323</v>
      </c>
      <c r="F209" t="inlineStr">
        <is>
          <t>VÄSTRA GÖTALANDS LÄN</t>
        </is>
      </c>
      <c r="G209" t="inlineStr">
        <is>
          <t>MUNKEDAL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64147-2025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46022</v>
      </c>
      <c r="E210" s="1" t="n">
        <v>46323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46022</v>
      </c>
      <c r="E211" s="1" t="n">
        <v>46323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46323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46323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46323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45325</v>
      </c>
      <c r="E215" s="1" t="n">
        <v>46323</v>
      </c>
      <c r="F215" t="inlineStr">
        <is>
          <t>VÄSTRA GÖTALANDS LÄN</t>
        </is>
      </c>
      <c r="G215" t="inlineStr">
        <is>
          <t>MUNKEDAL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46323</v>
      </c>
      <c r="F216" t="inlineStr">
        <is>
          <t>VÄSTRA GÖTALANDS LÄN</t>
        </is>
      </c>
      <c r="G216" t="inlineStr">
        <is>
          <t>MUNKEDAL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46323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45740</v>
      </c>
      <c r="E218" s="1" t="n">
        <v>46323</v>
      </c>
      <c r="F218" t="inlineStr">
        <is>
          <t>VÄSTRA GÖTALANDS LÄN</t>
        </is>
      </c>
      <c r="G218" t="inlineStr">
        <is>
          <t>MUNKEDAL</t>
        </is>
      </c>
      <c r="I218" t="n">
        <v>12.7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46323</v>
      </c>
      <c r="F219" t="inlineStr">
        <is>
          <t>VÄSTRA GÖTALANDS LÄN</t>
        </is>
      </c>
      <c r="G219" t="inlineStr">
        <is>
          <t>MUNKEDAL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46323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46323</v>
      </c>
      <c r="F221" t="inlineStr">
        <is>
          <t>VÄSTRA GÖTALANDS LÄN</t>
        </is>
      </c>
      <c r="G221" t="inlineStr">
        <is>
          <t>MUNKEDAL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46323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26.5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46323</v>
      </c>
      <c r="F223" t="inlineStr">
        <is>
          <t>VÄSTRA GÖTALANDS LÄN</t>
        </is>
      </c>
      <c r="G223" t="inlineStr">
        <is>
          <t>MUNKEDAL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46323</v>
      </c>
      <c r="F224" t="inlineStr">
        <is>
          <t>VÄSTRA GÖTALANDS LÄN</t>
        </is>
      </c>
      <c r="G224" t="inlineStr">
        <is>
          <t>MUNKEDAL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46185</v>
      </c>
      <c r="E225" s="1" t="n">
        <v>46323</v>
      </c>
      <c r="F225" t="inlineStr">
        <is>
          <t>VÄSTRA GÖTALANDS LÄN</t>
        </is>
      </c>
      <c r="G225" t="inlineStr">
        <is>
          <t>MUNKEDAL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46323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46323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46323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46323</v>
      </c>
      <c r="F229" t="inlineStr">
        <is>
          <t>VÄSTRA GÖTALANDS LÄN</t>
        </is>
      </c>
      <c r="G229" t="inlineStr">
        <is>
          <t>MUNKEDAL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46323</v>
      </c>
      <c r="F230" t="inlineStr">
        <is>
          <t>VÄSTRA GÖTALANDS LÄN</t>
        </is>
      </c>
      <c r="G230" t="inlineStr">
        <is>
          <t>MUNKEDAL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46323</v>
      </c>
      <c r="F231" t="inlineStr">
        <is>
          <t>VÄSTRA GÖTALANDS LÄN</t>
        </is>
      </c>
      <c r="G231" t="inlineStr">
        <is>
          <t>MUNKEDAL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46209</v>
      </c>
      <c r="E232" s="1" t="n">
        <v>46323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45696</v>
      </c>
      <c r="E233" s="1" t="n">
        <v>46323</v>
      </c>
      <c r="F233" t="inlineStr">
        <is>
          <t>VÄSTRA GÖTALANDS LÄN</t>
        </is>
      </c>
      <c r="G233" t="inlineStr">
        <is>
          <t>MUNKEDAL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46323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49912-2023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45214</v>
      </c>
      <c r="E235" s="1" t="n">
        <v>46323</v>
      </c>
      <c r="F235" t="inlineStr">
        <is>
          <t>VÄSTRA GÖTALANDS LÄN</t>
        </is>
      </c>
      <c r="G235" t="inlineStr">
        <is>
          <t>MUNKEDAL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46323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46323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46323</v>
      </c>
      <c r="F238" t="inlineStr">
        <is>
          <t>VÄSTRA GÖTALANDS LÄN</t>
        </is>
      </c>
      <c r="G238" t="inlineStr">
        <is>
          <t>MUNKEDAL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46323</v>
      </c>
      <c r="F239" t="inlineStr">
        <is>
          <t>VÄSTRA GÖTALANDS LÄN</t>
        </is>
      </c>
      <c r="G239" t="inlineStr">
        <is>
          <t>MUNKEDAL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46047</v>
      </c>
      <c r="E240" s="1" t="n">
        <v>46323</v>
      </c>
      <c r="F240" t="inlineStr">
        <is>
          <t>VÄSTRA GÖTALANDS LÄN</t>
        </is>
      </c>
      <c r="G240" t="inlineStr">
        <is>
          <t>MUNKEDAL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45138</v>
      </c>
      <c r="E241" s="1" t="n">
        <v>46323</v>
      </c>
      <c r="F241" t="inlineStr">
        <is>
          <t>VÄSTRA GÖTALANDS LÄN</t>
        </is>
      </c>
      <c r="G241" t="inlineStr">
        <is>
          <t>MUNKEDAL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18278-2025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45762</v>
      </c>
      <c r="E242" s="1" t="n">
        <v>46323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46217</v>
      </c>
      <c r="E243" s="1" t="n">
        <v>46323</v>
      </c>
      <c r="F243" t="inlineStr">
        <is>
          <t>VÄSTRA GÖTALANDS LÄN</t>
        </is>
      </c>
      <c r="G243" t="inlineStr">
        <is>
          <t>MUNKEDAL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46323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46323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46323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Kyrkan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46217</v>
      </c>
      <c r="E247" s="1" t="n">
        <v>46323</v>
      </c>
      <c r="F247" t="inlineStr">
        <is>
          <t>VÄSTRA GÖTALANDS LÄN</t>
        </is>
      </c>
      <c r="G247" t="inlineStr">
        <is>
          <t>MUNKEDAL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46323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46323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44866</v>
      </c>
      <c r="E250" s="1" t="n">
        <v>46323</v>
      </c>
      <c r="F250" t="inlineStr">
        <is>
          <t>VÄSTRA GÖTALANDS LÄN</t>
        </is>
      </c>
      <c r="G250" t="inlineStr">
        <is>
          <t>MUNKEDAL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46323</v>
      </c>
      <c r="F251" t="inlineStr">
        <is>
          <t>VÄSTRA GÖTALANDS LÄN</t>
        </is>
      </c>
      <c r="G251" t="inlineStr">
        <is>
          <t>MUNKEDAL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37419-2023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46323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45588</v>
      </c>
      <c r="E253" s="1" t="n">
        <v>46323</v>
      </c>
      <c r="F253" t="inlineStr">
        <is>
          <t>VÄSTRA GÖTALANDS LÄN</t>
        </is>
      </c>
      <c r="G253" t="inlineStr">
        <is>
          <t>MUNKEDAL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46323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46323</v>
      </c>
      <c r="F255" t="inlineStr">
        <is>
          <t>VÄSTRA GÖTALANDS LÄN</t>
        </is>
      </c>
      <c r="G255" t="inlineStr">
        <is>
          <t>MUNKEDAL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46323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46323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46323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46323</v>
      </c>
      <c r="F259" t="inlineStr">
        <is>
          <t>VÄSTRA GÖTALANDS LÄN</t>
        </is>
      </c>
      <c r="G259" t="inlineStr">
        <is>
          <t>MUNKEDAL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46239</v>
      </c>
      <c r="E260" s="1" t="n">
        <v>46323</v>
      </c>
      <c r="F260" t="inlineStr">
        <is>
          <t>VÄSTRA GÖTALANDS LÄN</t>
        </is>
      </c>
      <c r="G260" t="inlineStr">
        <is>
          <t>MUNKEDAL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46323</v>
      </c>
      <c r="F261" t="inlineStr">
        <is>
          <t>VÄSTRA GÖTALANDS LÄN</t>
        </is>
      </c>
      <c r="G261" t="inlineStr">
        <is>
          <t>MUNKEDAL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45314</v>
      </c>
      <c r="E262" s="1" t="n">
        <v>46323</v>
      </c>
      <c r="F262" t="inlineStr">
        <is>
          <t>VÄSTRA GÖTALANDS LÄN</t>
        </is>
      </c>
      <c r="G262" t="inlineStr">
        <is>
          <t>MUNKEDAL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46323</v>
      </c>
      <c r="F263" t="inlineStr">
        <is>
          <t>VÄSTRA GÖTALANDS LÄN</t>
        </is>
      </c>
      <c r="G263" t="inlineStr">
        <is>
          <t>MUNKEDAL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44715</v>
      </c>
      <c r="E264" s="1" t="n">
        <v>46323</v>
      </c>
      <c r="F264" t="inlineStr">
        <is>
          <t>VÄSTRA GÖTALANDS LÄN</t>
        </is>
      </c>
      <c r="G264" t="inlineStr">
        <is>
          <t>MUNKEDAL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45293</v>
      </c>
      <c r="E265" s="1" t="n">
        <v>46323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46286</v>
      </c>
      <c r="E266" s="1" t="n">
        <v>46323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46323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46323</v>
      </c>
      <c r="F268" t="inlineStr">
        <is>
          <t>VÄSTRA GÖTALANDS LÄN</t>
        </is>
      </c>
      <c r="G268" t="inlineStr">
        <is>
          <t>MUNKEDAL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44806</v>
      </c>
      <c r="E269" s="1" t="n">
        <v>46323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25.2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46323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46323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44704</v>
      </c>
      <c r="E272" s="1" t="n">
        <v>46323</v>
      </c>
      <c r="F272" t="inlineStr">
        <is>
          <t>VÄSTRA GÖTALANDS LÄN</t>
        </is>
      </c>
      <c r="G272" t="inlineStr">
        <is>
          <t>MUNKEDAL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45293</v>
      </c>
      <c r="E273" s="1" t="n">
        <v>46323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45296</v>
      </c>
      <c r="E274" s="1" t="n">
        <v>46323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46286</v>
      </c>
      <c r="E275" s="1" t="n">
        <v>46323</v>
      </c>
      <c r="F275" t="inlineStr">
        <is>
          <t>VÄSTRA GÖTALANDS LÄN</t>
        </is>
      </c>
      <c r="G275" t="inlineStr">
        <is>
          <t>MUNKEDAL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46323</v>
      </c>
      <c r="F276" t="inlineStr">
        <is>
          <t>VÄSTRA GÖTALANDS LÄN</t>
        </is>
      </c>
      <c r="G276" t="inlineStr">
        <is>
          <t>MUNKEDAL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46323</v>
      </c>
      <c r="F277" t="inlineStr">
        <is>
          <t>VÄSTRA GÖTALANDS LÄN</t>
        </is>
      </c>
      <c r="G277" t="inlineStr">
        <is>
          <t>MUNKEDAL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46323</v>
      </c>
      <c r="F278" t="inlineStr">
        <is>
          <t>VÄSTRA GÖTALANDS LÄN</t>
        </is>
      </c>
      <c r="G278" t="inlineStr">
        <is>
          <t>MUNKEDAL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46323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44866</v>
      </c>
      <c r="E280" s="1" t="n">
        <v>46323</v>
      </c>
      <c r="F280" t="inlineStr">
        <is>
          <t>VÄSTRA GÖTALANDS LÄN</t>
        </is>
      </c>
      <c r="G280" t="inlineStr">
        <is>
          <t>MUNKEDAL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32862-2026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46244</v>
      </c>
      <c r="E281" s="1" t="n">
        <v>46323</v>
      </c>
      <c r="F281" t="inlineStr">
        <is>
          <t>VÄSTRA GÖTALANDS LÄN</t>
        </is>
      </c>
      <c r="G281" t="inlineStr">
        <is>
          <t>MUNKEDAL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46323</v>
      </c>
      <c r="F282" t="inlineStr">
        <is>
          <t>VÄSTRA GÖTALANDS LÄN</t>
        </is>
      </c>
      <c r="G282" t="inlineStr">
        <is>
          <t>MUNKEDAL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46091</v>
      </c>
      <c r="E283" s="1" t="n">
        <v>46323</v>
      </c>
      <c r="F283" t="inlineStr">
        <is>
          <t>VÄSTRA GÖTALANDS LÄN</t>
        </is>
      </c>
      <c r="G283" t="inlineStr">
        <is>
          <t>MUNKEDAL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46323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46247</v>
      </c>
      <c r="E285" s="1" t="n">
        <v>46323</v>
      </c>
      <c r="F285" t="inlineStr">
        <is>
          <t>VÄSTRA GÖTALANDS LÄN</t>
        </is>
      </c>
      <c r="G285" t="inlineStr">
        <is>
          <t>MUNKEDAL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33417-2026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46247</v>
      </c>
      <c r="E286" s="1" t="n">
        <v>46323</v>
      </c>
      <c r="F286" t="inlineStr">
        <is>
          <t>VÄSTRA GÖTALANDS LÄN</t>
        </is>
      </c>
      <c r="G286" t="inlineStr">
        <is>
          <t>MUNKEDAL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46175</v>
      </c>
      <c r="E287" s="1" t="n">
        <v>46323</v>
      </c>
      <c r="F287" t="inlineStr">
        <is>
          <t>VÄSTRA GÖTALANDS LÄN</t>
        </is>
      </c>
      <c r="G287" t="inlineStr">
        <is>
          <t>MUNKEDAL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45619</v>
      </c>
      <c r="E288" s="1" t="n">
        <v>46323</v>
      </c>
      <c r="F288" t="inlineStr">
        <is>
          <t>VÄSTRA GÖTALANDS LÄN</t>
        </is>
      </c>
      <c r="G288" t="inlineStr">
        <is>
          <t>MUNKEDAL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46323</v>
      </c>
      <c r="F289" t="inlineStr">
        <is>
          <t>VÄSTRA GÖTALANDS LÄN</t>
        </is>
      </c>
      <c r="G289" t="inlineStr">
        <is>
          <t>MUNKEDAL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46101</v>
      </c>
      <c r="E290" s="1" t="n">
        <v>46323</v>
      </c>
      <c r="F290" t="inlineStr">
        <is>
          <t>VÄSTRA GÖTALANDS LÄN</t>
        </is>
      </c>
      <c r="G290" t="inlineStr">
        <is>
          <t>MUNKEDAL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45188</v>
      </c>
      <c r="E291" s="1" t="n">
        <v>46323</v>
      </c>
      <c r="F291" t="inlineStr">
        <is>
          <t>VÄSTRA GÖTALANDS LÄN</t>
        </is>
      </c>
      <c r="G291" t="inlineStr">
        <is>
          <t>MUNKEDAL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45175</v>
      </c>
      <c r="E292" s="1" t="n">
        <v>46323</v>
      </c>
      <c r="F292" t="inlineStr">
        <is>
          <t>VÄSTRA GÖTALANDS LÄN</t>
        </is>
      </c>
      <c r="G292" t="inlineStr">
        <is>
          <t>MUNKEDAL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46323</v>
      </c>
      <c r="F293" t="inlineStr">
        <is>
          <t>VÄSTRA GÖTALANDS LÄN</t>
        </is>
      </c>
      <c r="G293" t="inlineStr">
        <is>
          <t>MUNKEDAL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46294</v>
      </c>
      <c r="E294" s="1" t="n">
        <v>46323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46323</v>
      </c>
      <c r="F295" t="inlineStr">
        <is>
          <t>VÄSTRA GÖTALANDS LÄN</t>
        </is>
      </c>
      <c r="G295" t="inlineStr">
        <is>
          <t>MUNKEDAL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45371</v>
      </c>
      <c r="E296" s="1" t="n">
        <v>46323</v>
      </c>
      <c r="F296" t="inlineStr">
        <is>
          <t>VÄSTRA GÖTALANDS LÄN</t>
        </is>
      </c>
      <c r="G296" t="inlineStr">
        <is>
          <t>MUNKEDAL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46323</v>
      </c>
      <c r="F297" t="inlineStr">
        <is>
          <t>VÄSTRA GÖTALANDS LÄN</t>
        </is>
      </c>
      <c r="G297" t="inlineStr">
        <is>
          <t>MUNKEDAL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46323</v>
      </c>
      <c r="F298" t="inlineStr">
        <is>
          <t>VÄSTRA GÖTALANDS LÄN</t>
        </is>
      </c>
      <c r="G298" t="inlineStr">
        <is>
          <t>MUNKEDAL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46294</v>
      </c>
      <c r="E299" s="1" t="n">
        <v>46323</v>
      </c>
      <c r="F299" t="inlineStr">
        <is>
          <t>VÄSTRA GÖTALANDS LÄN</t>
        </is>
      </c>
      <c r="G299" t="inlineStr">
        <is>
          <t>MUNKEDAL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46323</v>
      </c>
      <c r="F300" t="inlineStr">
        <is>
          <t>VÄSTRA GÖTALANDS LÄN</t>
        </is>
      </c>
      <c r="G300" t="inlineStr">
        <is>
          <t>MUNKEDAL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46323</v>
      </c>
      <c r="F301" t="inlineStr">
        <is>
          <t>VÄSTRA GÖTALANDS LÄN</t>
        </is>
      </c>
      <c r="G301" t="inlineStr">
        <is>
          <t>MUNKEDAL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46323</v>
      </c>
      <c r="F302" t="inlineStr">
        <is>
          <t>VÄSTRA GÖTALANDS LÄN</t>
        </is>
      </c>
      <c r="G302" t="inlineStr">
        <is>
          <t>MUNKEDAL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45322</v>
      </c>
      <c r="E303" s="1" t="n">
        <v>46323</v>
      </c>
      <c r="F303" t="inlineStr">
        <is>
          <t>VÄSTRA GÖTALANDS LÄN</t>
        </is>
      </c>
      <c r="G303" t="inlineStr">
        <is>
          <t>MUNKEDAL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46323</v>
      </c>
      <c r="F304" t="inlineStr">
        <is>
          <t>VÄSTRA GÖTALANDS LÄN</t>
        </is>
      </c>
      <c r="G304" t="inlineStr">
        <is>
          <t>MUNKEDAL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46294</v>
      </c>
      <c r="E305" s="1" t="n">
        <v>46323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45400</v>
      </c>
      <c r="E306" s="1" t="n">
        <v>46323</v>
      </c>
      <c r="F306" t="inlineStr">
        <is>
          <t>VÄSTRA GÖTALANDS LÄN</t>
        </is>
      </c>
      <c r="G306" t="inlineStr">
        <is>
          <t>MUNKEDAL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46254</v>
      </c>
      <c r="E307" s="1" t="n">
        <v>46323</v>
      </c>
      <c r="F307" t="inlineStr">
        <is>
          <t>VÄSTRA GÖTALANDS LÄN</t>
        </is>
      </c>
      <c r="G307" t="inlineStr">
        <is>
          <t>MUNKEDAL</t>
        </is>
      </c>
      <c r="I307" t="n">
        <v>11.6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34288-2026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46253</v>
      </c>
      <c r="E308" s="1" t="n">
        <v>46323</v>
      </c>
      <c r="F308" t="inlineStr">
        <is>
          <t>VÄSTRA GÖTALANDS LÄN</t>
        </is>
      </c>
      <c r="G308" t="inlineStr">
        <is>
          <t>MUNKEDAL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46323</v>
      </c>
      <c r="F309" t="inlineStr">
        <is>
          <t>VÄSTRA GÖTALANDS LÄN</t>
        </is>
      </c>
      <c r="G309" t="inlineStr">
        <is>
          <t>MUNKEDAL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46323</v>
      </c>
      <c r="F310" t="inlineStr">
        <is>
          <t>VÄSTRA GÖTALANDS LÄN</t>
        </is>
      </c>
      <c r="G310" t="inlineStr">
        <is>
          <t>MUNKEDAL</t>
        </is>
      </c>
      <c r="I310" t="n">
        <v>11.6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46323</v>
      </c>
      <c r="F311" t="inlineStr">
        <is>
          <t>VÄSTRA GÖTALANDS LÄN</t>
        </is>
      </c>
      <c r="G311" t="inlineStr">
        <is>
          <t>MUNKEDAL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46323</v>
      </c>
      <c r="F312" t="inlineStr">
        <is>
          <t>VÄSTRA GÖTALANDS LÄN</t>
        </is>
      </c>
      <c r="G312" t="inlineStr">
        <is>
          <t>MUNKEDAL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46295</v>
      </c>
      <c r="E313" s="1" t="n">
        <v>46323</v>
      </c>
      <c r="F313" t="inlineStr">
        <is>
          <t>VÄSTRA GÖTALANDS LÄN</t>
        </is>
      </c>
      <c r="G313" t="inlineStr">
        <is>
          <t>MUNKEDAL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46323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7389-2022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44606</v>
      </c>
      <c r="E315" s="1" t="n">
        <v>46323</v>
      </c>
      <c r="F315" t="inlineStr">
        <is>
          <t>VÄSTRA GÖTALANDS LÄN</t>
        </is>
      </c>
      <c r="G315" t="inlineStr">
        <is>
          <t>MUNKEDAL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45489</v>
      </c>
      <c r="E316" s="1" t="n">
        <v>46323</v>
      </c>
      <c r="F316" t="inlineStr">
        <is>
          <t>VÄSTRA GÖTALANDS LÄN</t>
        </is>
      </c>
      <c r="G316" t="inlineStr">
        <is>
          <t>MUNKEDAL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44694</v>
      </c>
      <c r="E317" s="1" t="n">
        <v>46323</v>
      </c>
      <c r="F317" t="inlineStr">
        <is>
          <t>VÄSTRA GÖTALANDS LÄN</t>
        </is>
      </c>
      <c r="G317" t="inlineStr">
        <is>
          <t>MUNKEDAL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46323</v>
      </c>
      <c r="F318" t="inlineStr">
        <is>
          <t>VÄSTRA GÖTALANDS LÄN</t>
        </is>
      </c>
      <c r="G318" t="inlineStr">
        <is>
          <t>MUNKEDAL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44672</v>
      </c>
      <c r="E319" s="1" t="n">
        <v>46323</v>
      </c>
      <c r="F319" t="inlineStr">
        <is>
          <t>VÄSTRA GÖTALANDS LÄN</t>
        </is>
      </c>
      <c r="G319" t="inlineStr">
        <is>
          <t>MUNKEDAL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46323</v>
      </c>
      <c r="F320" t="inlineStr">
        <is>
          <t>VÄSTRA GÖTALANDS LÄN</t>
        </is>
      </c>
      <c r="G320" t="inlineStr">
        <is>
          <t>MUNKEDAL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45076</v>
      </c>
      <c r="E321" s="1" t="n">
        <v>46323</v>
      </c>
      <c r="F321" t="inlineStr">
        <is>
          <t>VÄSTRA GÖTALANDS LÄN</t>
        </is>
      </c>
      <c r="G321" t="inlineStr">
        <is>
          <t>MUNKEDAL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46323</v>
      </c>
      <c r="F322" t="inlineStr">
        <is>
          <t>VÄSTRA GÖTALANDS LÄN</t>
        </is>
      </c>
      <c r="G322" t="inlineStr">
        <is>
          <t>MUNKEDAL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46323</v>
      </c>
      <c r="F323" t="inlineStr">
        <is>
          <t>VÄSTRA GÖTALANDS LÄN</t>
        </is>
      </c>
      <c r="G323" t="inlineStr">
        <is>
          <t>MUNKEDAL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46323</v>
      </c>
      <c r="F324" t="inlineStr">
        <is>
          <t>VÄSTRA GÖTALANDS LÄN</t>
        </is>
      </c>
      <c r="G324" t="inlineStr">
        <is>
          <t>MUNKEDAL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46129</v>
      </c>
      <c r="E325" s="1" t="n">
        <v>46323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44937</v>
      </c>
      <c r="E326" s="1" t="n">
        <v>46323</v>
      </c>
      <c r="F326" t="inlineStr">
        <is>
          <t>VÄSTRA GÖTALANDS LÄN</t>
        </is>
      </c>
      <c r="G326" t="inlineStr">
        <is>
          <t>MUNKEDAL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46131</v>
      </c>
      <c r="E327" s="1" t="n">
        <v>46323</v>
      </c>
      <c r="F327" t="inlineStr">
        <is>
          <t>VÄSTRA GÖTALANDS LÄN</t>
        </is>
      </c>
      <c r="G327" t="inlineStr">
        <is>
          <t>MUNKEDAL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46323</v>
      </c>
      <c r="F328" t="inlineStr">
        <is>
          <t>VÄSTRA GÖTALANDS LÄN</t>
        </is>
      </c>
      <c r="G328" t="inlineStr">
        <is>
          <t>MUNKEDAL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45625</v>
      </c>
      <c r="E329" s="1" t="n">
        <v>46323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Kyrkan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46323</v>
      </c>
      <c r="F330" t="inlineStr">
        <is>
          <t>VÄSTRA GÖTALANDS LÄN</t>
        </is>
      </c>
      <c r="G330" t="inlineStr">
        <is>
          <t>MUNKEDAL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46323</v>
      </c>
      <c r="F331" t="inlineStr">
        <is>
          <t>VÄSTRA GÖTALANDS LÄN</t>
        </is>
      </c>
      <c r="G331" t="inlineStr">
        <is>
          <t>MUNKEDAL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46323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45049</v>
      </c>
      <c r="E333" s="1" t="n">
        <v>46323</v>
      </c>
      <c r="F333" t="inlineStr">
        <is>
          <t>VÄSTRA GÖTALANDS LÄN</t>
        </is>
      </c>
      <c r="G333" t="inlineStr">
        <is>
          <t>MUNKEDAL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46297</v>
      </c>
      <c r="E334" s="1" t="n">
        <v>46323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46303</v>
      </c>
      <c r="E335" s="1" t="n">
        <v>46323</v>
      </c>
      <c r="F335" t="inlineStr">
        <is>
          <t>VÄSTRA GÖTALANDS LÄN</t>
        </is>
      </c>
      <c r="G335" t="inlineStr">
        <is>
          <t>MUNKEDAL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45557</v>
      </c>
      <c r="E336" s="1" t="n">
        <v>46323</v>
      </c>
      <c r="F336" t="inlineStr">
        <is>
          <t>VÄSTRA GÖTALANDS LÄN</t>
        </is>
      </c>
      <c r="G336" t="inlineStr">
        <is>
          <t>MUNKEDAL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46303</v>
      </c>
      <c r="E337" s="1" t="n">
        <v>46323</v>
      </c>
      <c r="F337" t="inlineStr">
        <is>
          <t>VÄSTRA GÖTALANDS LÄN</t>
        </is>
      </c>
      <c r="G337" t="inlineStr">
        <is>
          <t>MUNKEDAL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46323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46303</v>
      </c>
      <c r="E339" s="1" t="n">
        <v>46323</v>
      </c>
      <c r="F339" t="inlineStr">
        <is>
          <t>VÄSTRA GÖTALANDS LÄN</t>
        </is>
      </c>
      <c r="G339" t="inlineStr">
        <is>
          <t>MUNKEDAL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46302</v>
      </c>
      <c r="E340" s="1" t="n">
        <v>46323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44958</v>
      </c>
      <c r="E341" s="1" t="n">
        <v>46323</v>
      </c>
      <c r="F341" t="inlineStr">
        <is>
          <t>VÄSTRA GÖTALANDS LÄN</t>
        </is>
      </c>
      <c r="G341" t="inlineStr">
        <is>
          <t>MUNKEDAL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46308</v>
      </c>
      <c r="E342" s="1" t="n">
        <v>46323</v>
      </c>
      <c r="F342" t="inlineStr">
        <is>
          <t>VÄSTRA GÖTALANDS LÄN</t>
        </is>
      </c>
      <c r="G342" t="inlineStr">
        <is>
          <t>MUNKEDAL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46308</v>
      </c>
      <c r="E343" s="1" t="n">
        <v>46323</v>
      </c>
      <c r="F343" t="inlineStr">
        <is>
          <t>VÄSTRA GÖTALANDS LÄN</t>
        </is>
      </c>
      <c r="G343" t="inlineStr">
        <is>
          <t>MUNKEDAL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46323</v>
      </c>
      <c r="F344" t="inlineStr">
        <is>
          <t>VÄSTRA GÖTALANDS LÄN</t>
        </is>
      </c>
      <c r="G344" t="inlineStr">
        <is>
          <t>MUNKEDAL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45618</v>
      </c>
      <c r="E345" s="1" t="n">
        <v>46323</v>
      </c>
      <c r="F345" t="inlineStr">
        <is>
          <t>VÄSTRA GÖTALANDS LÄN</t>
        </is>
      </c>
      <c r="G345" t="inlineStr">
        <is>
          <t>MUNKEDAL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46323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Naturvårdsverket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46323</v>
      </c>
      <c r="F347" t="inlineStr">
        <is>
          <t>VÄSTRA GÖTALANDS LÄN</t>
        </is>
      </c>
      <c r="G347" t="inlineStr">
        <is>
          <t>MUNKEDAL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46323</v>
      </c>
      <c r="F348" t="inlineStr">
        <is>
          <t>VÄSTRA GÖTALANDS LÄN</t>
        </is>
      </c>
      <c r="G348" t="inlineStr">
        <is>
          <t>MUNKEDAL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45874</v>
      </c>
      <c r="E349" s="1" t="n">
        <v>46323</v>
      </c>
      <c r="F349" t="inlineStr">
        <is>
          <t>VÄSTRA GÖTALANDS LÄN</t>
        </is>
      </c>
      <c r="G349" t="inlineStr">
        <is>
          <t>MUNKEDAL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46323</v>
      </c>
      <c r="F350" t="inlineStr">
        <is>
          <t>VÄSTRA GÖTALANDS LÄN</t>
        </is>
      </c>
      <c r="G350" t="inlineStr">
        <is>
          <t>MUNKEDAL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13561-2024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45388</v>
      </c>
      <c r="E351" s="1" t="n">
        <v>46323</v>
      </c>
      <c r="F351" t="inlineStr">
        <is>
          <t>VÄSTRA GÖTALANDS LÄN</t>
        </is>
      </c>
      <c r="G351" t="inlineStr">
        <is>
          <t>MUNKEDAL</t>
        </is>
      </c>
      <c r="I351" t="n">
        <v>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44946</v>
      </c>
      <c r="E352" s="1" t="n">
        <v>46323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46323</v>
      </c>
      <c r="F353" t="inlineStr">
        <is>
          <t>VÄSTRA GÖTALANDS LÄN</t>
        </is>
      </c>
      <c r="G353" t="inlineStr">
        <is>
          <t>MUNKEDAL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36113-2026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46267</v>
      </c>
      <c r="E354" s="1" t="n">
        <v>46323</v>
      </c>
      <c r="F354" t="inlineStr">
        <is>
          <t>VÄSTRA GÖTALANDS LÄN</t>
        </is>
      </c>
      <c r="G354" t="inlineStr">
        <is>
          <t>MUNKEDAL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28393-2022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44747</v>
      </c>
      <c r="E355" s="1" t="n">
        <v>46323</v>
      </c>
      <c r="F355" t="inlineStr">
        <is>
          <t>VÄSTRA GÖTALANDS LÄN</t>
        </is>
      </c>
      <c r="G355" t="inlineStr">
        <is>
          <t>MUNKEDAL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46323</v>
      </c>
      <c r="F356" t="inlineStr">
        <is>
          <t>VÄSTRA GÖTALANDS LÄN</t>
        </is>
      </c>
      <c r="G356" t="inlineStr">
        <is>
          <t>MUNKEDAL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45954</v>
      </c>
      <c r="E357" s="1" t="n">
        <v>46323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46323</v>
      </c>
      <c r="F358" t="inlineStr">
        <is>
          <t>VÄSTRA GÖTALANDS LÄN</t>
        </is>
      </c>
      <c r="G358" t="inlineStr">
        <is>
          <t>MUNKEDAL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46323</v>
      </c>
      <c r="F359" t="inlineStr">
        <is>
          <t>VÄSTRA GÖTALANDS LÄN</t>
        </is>
      </c>
      <c r="G359" t="inlineStr">
        <is>
          <t>MUNKEDAL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46323</v>
      </c>
      <c r="F360" t="inlineStr">
        <is>
          <t>VÄSTRA GÖTALANDS LÄN</t>
        </is>
      </c>
      <c r="G360" t="inlineStr">
        <is>
          <t>MUNKEDAL</t>
        </is>
      </c>
      <c r="I360" t="n">
        <v>20.2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46323</v>
      </c>
      <c r="F361" t="inlineStr">
        <is>
          <t>VÄSTRA GÖTALANDS LÄN</t>
        </is>
      </c>
      <c r="G361" t="inlineStr">
        <is>
          <t>MUNKEDAL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46323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45456</v>
      </c>
      <c r="E363" s="1" t="n">
        <v>46323</v>
      </c>
      <c r="F363" t="inlineStr">
        <is>
          <t>VÄSTRA GÖTALANDS LÄN</t>
        </is>
      </c>
      <c r="G363" t="inlineStr">
        <is>
          <t>MUNKEDAL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46323</v>
      </c>
      <c r="F364" t="inlineStr">
        <is>
          <t>VÄSTRA GÖTALANDS LÄN</t>
        </is>
      </c>
      <c r="G364" t="inlineStr">
        <is>
          <t>MUNKEDAL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46323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46311</v>
      </c>
      <c r="E366" s="1" t="n">
        <v>46323</v>
      </c>
      <c r="F366" t="inlineStr">
        <is>
          <t>VÄSTRA GÖTALANDS LÄN</t>
        </is>
      </c>
      <c r="G366" t="inlineStr">
        <is>
          <t>MUNKEDAL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45488</v>
      </c>
      <c r="E367" s="1" t="n">
        <v>46323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46323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Kommuner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46323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46323</v>
      </c>
      <c r="F370" t="inlineStr">
        <is>
          <t>VÄSTRA GÖTALANDS LÄN</t>
        </is>
      </c>
      <c r="G370" t="inlineStr">
        <is>
          <t>MUNKEDAL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46323</v>
      </c>
      <c r="F371" t="inlineStr">
        <is>
          <t>VÄSTRA GÖTALANDS LÄN</t>
        </is>
      </c>
      <c r="G371" t="inlineStr">
        <is>
          <t>MUNKEDAL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46272</v>
      </c>
      <c r="E372" s="1" t="n">
        <v>46323</v>
      </c>
      <c r="F372" t="inlineStr">
        <is>
          <t>VÄSTRA GÖTALANDS LÄN</t>
        </is>
      </c>
      <c r="G372" t="inlineStr">
        <is>
          <t>MUNKEDAL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46274</v>
      </c>
      <c r="E373" s="1" t="n">
        <v>46323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46323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Kyrkan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46323</v>
      </c>
      <c r="F375" t="inlineStr">
        <is>
          <t>VÄSTRA GÖTALANDS LÄN</t>
        </is>
      </c>
      <c r="G375" t="inlineStr">
        <is>
          <t>MUNKEDAL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46323</v>
      </c>
      <c r="F376" t="inlineStr">
        <is>
          <t>VÄSTRA GÖTALANDS LÄN</t>
        </is>
      </c>
      <c r="G376" t="inlineStr">
        <is>
          <t>MUNKEDAL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46142</v>
      </c>
      <c r="E377" s="1" t="n">
        <v>46323</v>
      </c>
      <c r="F377" t="inlineStr">
        <is>
          <t>VÄSTRA GÖTALANDS LÄN</t>
        </is>
      </c>
      <c r="G377" t="inlineStr">
        <is>
          <t>MUNKEDAL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46141</v>
      </c>
      <c r="E378" s="1" t="n">
        <v>46323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46323</v>
      </c>
      <c r="F379" t="inlineStr">
        <is>
          <t>VÄSTRA GÖTALANDS LÄN</t>
        </is>
      </c>
      <c r="G379" t="inlineStr">
        <is>
          <t>MUNKEDAL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46323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46323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45072</v>
      </c>
      <c r="E382" s="1" t="n">
        <v>46323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Kommuner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46323</v>
      </c>
      <c r="F383" t="inlineStr">
        <is>
          <t>VÄSTRA GÖTALANDS LÄN</t>
        </is>
      </c>
      <c r="G383" t="inlineStr">
        <is>
          <t>MUNKEDAL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46323</v>
      </c>
      <c r="F384" t="inlineStr">
        <is>
          <t>VÄSTRA GÖTALANDS LÄN</t>
        </is>
      </c>
      <c r="G384" t="inlineStr">
        <is>
          <t>MUNKEDAL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46323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46321</v>
      </c>
      <c r="E386" s="1" t="n">
        <v>46323</v>
      </c>
      <c r="F386" t="inlineStr">
        <is>
          <t>VÄSTRA GÖTALANDS LÄN</t>
        </is>
      </c>
      <c r="G386" t="inlineStr">
        <is>
          <t>MUNKEDAL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46276</v>
      </c>
      <c r="E387" s="1" t="n">
        <v>46323</v>
      </c>
      <c r="F387" t="inlineStr">
        <is>
          <t>VÄSTRA GÖTALANDS LÄN</t>
        </is>
      </c>
      <c r="G387" t="inlineStr">
        <is>
          <t>MUNKEDAL</t>
        </is>
      </c>
      <c r="I387" t="n">
        <v>11.8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46321</v>
      </c>
      <c r="E388" s="1" t="n">
        <v>46323</v>
      </c>
      <c r="F388" t="inlineStr">
        <is>
          <t>VÄSTRA GÖTALANDS LÄN</t>
        </is>
      </c>
      <c r="G388" t="inlineStr">
        <is>
          <t>MUNKEDAL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46323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46323</v>
      </c>
      <c r="F390" t="inlineStr">
        <is>
          <t>VÄSTRA GÖTALANDS LÄN</t>
        </is>
      </c>
      <c r="G390" t="inlineStr">
        <is>
          <t>MUNKEDAL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45845</v>
      </c>
      <c r="E391" s="1" t="n">
        <v>46323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46323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46323</v>
      </c>
      <c r="F393" t="inlineStr">
        <is>
          <t>VÄSTRA GÖTALANDS LÄN</t>
        </is>
      </c>
      <c r="G393" t="inlineStr">
        <is>
          <t>MUNKEDAL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45849</v>
      </c>
      <c r="E394" s="1" t="n">
        <v>46323</v>
      </c>
      <c r="F394" t="inlineStr">
        <is>
          <t>VÄSTRA GÖTALANDS LÄN</t>
        </is>
      </c>
      <c r="G394" t="inlineStr">
        <is>
          <t>MUNKEDAL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46321</v>
      </c>
      <c r="E395" s="1" t="n">
        <v>46323</v>
      </c>
      <c r="F395" t="inlineStr">
        <is>
          <t>VÄSTRA GÖTALANDS LÄN</t>
        </is>
      </c>
      <c r="G395" t="inlineStr">
        <is>
          <t>MUNKEDAL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46323</v>
      </c>
      <c r="F396" t="inlineStr">
        <is>
          <t>VÄSTRA GÖTALANDS LÄN</t>
        </is>
      </c>
      <c r="G396" t="inlineStr">
        <is>
          <t>MUNKEDAL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45755</v>
      </c>
      <c r="E397" s="1" t="n">
        <v>46323</v>
      </c>
      <c r="F397" t="inlineStr">
        <is>
          <t>VÄSTRA GÖTALANDS LÄN</t>
        </is>
      </c>
      <c r="G397" t="inlineStr">
        <is>
          <t>MUNKEDAL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45982</v>
      </c>
      <c r="E398" s="1" t="n">
        <v>46323</v>
      </c>
      <c r="F398" t="inlineStr">
        <is>
          <t>VÄSTRA GÖTALANDS LÄN</t>
        </is>
      </c>
      <c r="G398" t="inlineStr">
        <is>
          <t>MUNKEDAL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29515-2026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46323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statliga verk och myndigheter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46323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45351</v>
      </c>
      <c r="E401" s="1" t="n">
        <v>46323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46323</v>
      </c>
      <c r="F402" t="inlineStr">
        <is>
          <t>VÄSTRA GÖTALANDS LÄN</t>
        </is>
      </c>
      <c r="G402" t="inlineStr">
        <is>
          <t>MUNKEDAL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46323</v>
      </c>
      <c r="F403" t="inlineStr">
        <is>
          <t>VÄSTRA GÖTALANDS LÄN</t>
        </is>
      </c>
      <c r="G403" t="inlineStr">
        <is>
          <t>MUNKEDAL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45484</v>
      </c>
      <c r="E404" s="1" t="n">
        <v>46323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46323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Kyrkan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45709</v>
      </c>
      <c r="E406" s="1" t="n">
        <v>46323</v>
      </c>
      <c r="F406" t="inlineStr">
        <is>
          <t>VÄSTRA GÖTALANDS LÄN</t>
        </is>
      </c>
      <c r="G406" t="inlineStr">
        <is>
          <t>MUNKEDAL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46323</v>
      </c>
      <c r="F407" t="inlineStr">
        <is>
          <t>VÄSTRA GÖTALANDS LÄN</t>
        </is>
      </c>
      <c r="G407" t="inlineStr">
        <is>
          <t>MUNKEDAL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46323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46323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45884</v>
      </c>
      <c r="E410" s="1" t="n">
        <v>46323</v>
      </c>
      <c r="F410" t="inlineStr">
        <is>
          <t>VÄSTRA GÖTALANDS LÄN</t>
        </is>
      </c>
      <c r="G410" t="inlineStr">
        <is>
          <t>MUNKEDAL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46171</v>
      </c>
      <c r="E411" s="1" t="n">
        <v>46323</v>
      </c>
      <c r="F411" t="inlineStr">
        <is>
          <t>VÄSTRA GÖTALANDS LÄN</t>
        </is>
      </c>
      <c r="G411" t="inlineStr">
        <is>
          <t>MUNKEDAL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38164-2022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46323</v>
      </c>
      <c r="F412" t="inlineStr">
        <is>
          <t>VÄSTRA GÖTALANDS LÄN</t>
        </is>
      </c>
      <c r="G412" t="inlineStr">
        <is>
          <t>MUNKEDAL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46323</v>
      </c>
      <c r="F413" t="inlineStr">
        <is>
          <t>VÄSTRA GÖTALANDS LÄN</t>
        </is>
      </c>
      <c r="G413" t="inlineStr">
        <is>
          <t>MUNKEDAL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46323</v>
      </c>
      <c r="F414" t="inlineStr">
        <is>
          <t>VÄSTRA GÖTALANDS LÄN</t>
        </is>
      </c>
      <c r="G414" t="inlineStr">
        <is>
          <t>MUNKEDAL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46323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46323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46323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46323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46323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2026-10-28T03:15:01Z</dcterms:created>
  <dcterms:modified xmlns:dcterms="http://purl.org/dc/terms/" xmlns:xsi="http://www.w3.org/2001/XMLSchema-instance" xsi:type="dcterms:W3CDTF">2026-10-28T03:15:01Z</dcterms:modified>
</cp:coreProperties>
</file>