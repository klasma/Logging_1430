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45674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45674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45674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45674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45674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45674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45674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45674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45674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45674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45674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45674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45674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45674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45674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45674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45674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2586-2024</t>
        </is>
      </c>
      <c r="B19" s="1" t="n">
        <v>45313</v>
      </c>
      <c r="C19" s="1" t="n">
        <v>45674</v>
      </c>
      <c r="D19" t="inlineStr">
        <is>
          <t>VÄSTRA GÖTALANDS LÄN</t>
        </is>
      </c>
      <c r="E19" t="inlineStr">
        <is>
          <t>MUNKEDAL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Rävticka
Vanlig groda</t>
        </is>
      </c>
      <c r="S19">
        <f>HYPERLINK("https://klasma.github.io/Logging_1430/artfynd/A 2586-2024 artfynd.xlsx", "A 2586-2024")</f>
        <v/>
      </c>
      <c r="T19">
        <f>HYPERLINK("https://klasma.github.io/Logging_1430/kartor/A 2586-2024 karta.png", "A 2586-2024")</f>
        <v/>
      </c>
      <c r="V19">
        <f>HYPERLINK("https://klasma.github.io/Logging_1430/klagomål/A 2586-2024 FSC-klagomål.docx", "A 2586-2024")</f>
        <v/>
      </c>
      <c r="W19">
        <f>HYPERLINK("https://klasma.github.io/Logging_1430/klagomålsmail/A 2586-2024 FSC-klagomål mail.docx", "A 2586-2024")</f>
        <v/>
      </c>
      <c r="X19">
        <f>HYPERLINK("https://klasma.github.io/Logging_1430/tillsyn/A 2586-2024 tillsynsbegäran.docx", "A 2586-2024")</f>
        <v/>
      </c>
      <c r="Y19">
        <f>HYPERLINK("https://klasma.github.io/Logging_1430/tillsynsmail/A 2586-2024 tillsynsbegäran mail.docx", "A 2586-2024")</f>
        <v/>
      </c>
    </row>
    <row r="20" ht="15" customHeight="1">
      <c r="A20" t="inlineStr">
        <is>
          <t>A 18784-2019</t>
        </is>
      </c>
      <c r="B20" s="1" t="n">
        <v>43562</v>
      </c>
      <c r="C20" s="1" t="n">
        <v>45674</v>
      </c>
      <c r="D20" t="inlineStr">
        <is>
          <t>VÄSTRA GÖTALANDS LÄN</t>
        </is>
      </c>
      <c r="E20" t="inlineStr">
        <is>
          <t>MUNKEDAL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HYPERLINK("https://klasma.github.io/Logging_1430/artfynd/A 18784-2019 artfynd.xlsx", "A 18784-2019")</f>
        <v/>
      </c>
      <c r="T20">
        <f>HYPERLINK("https://klasma.github.io/Logging_1430/kartor/A 18784-2019 karta.png", "A 18784-2019")</f>
        <v/>
      </c>
      <c r="V20">
        <f>HYPERLINK("https://klasma.github.io/Logging_1430/klagomål/A 18784-2019 FSC-klagomål.docx", "A 18784-2019")</f>
        <v/>
      </c>
      <c r="W20">
        <f>HYPERLINK("https://klasma.github.io/Logging_1430/klagomålsmail/A 18784-2019 FSC-klagomål mail.docx", "A 18784-2019")</f>
        <v/>
      </c>
      <c r="X20">
        <f>HYPERLINK("https://klasma.github.io/Logging_1430/tillsyn/A 18784-2019 tillsynsbegäran.docx", "A 18784-2019")</f>
        <v/>
      </c>
      <c r="Y20">
        <f>HYPERLINK("https://klasma.github.io/Logging_1430/tillsynsmail/A 18784-2019 tillsynsbegäran mail.docx", "A 18784-2019")</f>
        <v/>
      </c>
    </row>
    <row r="21" ht="15" customHeight="1">
      <c r="A21" t="inlineStr">
        <is>
          <t>A 30216-2019</t>
        </is>
      </c>
      <c r="B21" s="1" t="n">
        <v>43632</v>
      </c>
      <c r="C21" s="1" t="n">
        <v>45674</v>
      </c>
      <c r="D21" t="inlineStr">
        <is>
          <t>VÄSTRA GÖTALANDS LÄN</t>
        </is>
      </c>
      <c r="E21" t="inlineStr">
        <is>
          <t>MUNKEDAL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30216-2019 artfynd.xlsx", "A 30216-2019")</f>
        <v/>
      </c>
      <c r="T21">
        <f>HYPERLINK("https://klasma.github.io/Logging_1430/kartor/A 30216-2019 karta.png", "A 30216-2019")</f>
        <v/>
      </c>
      <c r="V21">
        <f>HYPERLINK("https://klasma.github.io/Logging_1430/klagomål/A 30216-2019 FSC-klagomål.docx", "A 30216-2019")</f>
        <v/>
      </c>
      <c r="W21">
        <f>HYPERLINK("https://klasma.github.io/Logging_1430/klagomålsmail/A 30216-2019 FSC-klagomål mail.docx", "A 30216-2019")</f>
        <v/>
      </c>
      <c r="X21">
        <f>HYPERLINK("https://klasma.github.io/Logging_1430/tillsyn/A 30216-2019 tillsynsbegäran.docx", "A 30216-2019")</f>
        <v/>
      </c>
      <c r="Y21">
        <f>HYPERLINK("https://klasma.github.io/Logging_1430/tillsynsmail/A 30216-2019 tillsynsbegäran mail.docx", "A 30216-2019")</f>
        <v/>
      </c>
    </row>
    <row r="22" ht="15" customHeight="1">
      <c r="A22" t="inlineStr">
        <is>
          <t>A 33245-2019</t>
        </is>
      </c>
      <c r="B22" s="1" t="n">
        <v>43650</v>
      </c>
      <c r="C22" s="1" t="n">
        <v>45674</v>
      </c>
      <c r="D22" t="inlineStr">
        <is>
          <t>VÄSTRA GÖTALANDS LÄN</t>
        </is>
      </c>
      <c r="E22" t="inlineStr">
        <is>
          <t>MUNKEDAL</t>
        </is>
      </c>
      <c r="G22" t="n">
        <v>10.4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33245-2019 artfynd.xlsx", "A 33245-2019")</f>
        <v/>
      </c>
      <c r="T22">
        <f>HYPERLINK("https://klasma.github.io/Logging_1430/kartor/A 33245-2019 karta.png", "A 33245-2019")</f>
        <v/>
      </c>
      <c r="V22">
        <f>HYPERLINK("https://klasma.github.io/Logging_1430/klagomål/A 33245-2019 FSC-klagomål.docx", "A 33245-2019")</f>
        <v/>
      </c>
      <c r="W22">
        <f>HYPERLINK("https://klasma.github.io/Logging_1430/klagomålsmail/A 33245-2019 FSC-klagomål mail.docx", "A 33245-2019")</f>
        <v/>
      </c>
      <c r="X22">
        <f>HYPERLINK("https://klasma.github.io/Logging_1430/tillsyn/A 33245-2019 tillsynsbegäran.docx", "A 33245-2019")</f>
        <v/>
      </c>
      <c r="Y22">
        <f>HYPERLINK("https://klasma.github.io/Logging_1430/tillsynsmail/A 33245-2019 tillsynsbegäran mail.docx", "A 33245-2019")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45674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59514-2021</t>
        </is>
      </c>
      <c r="B24" s="1" t="n">
        <v>44491</v>
      </c>
      <c r="C24" s="1" t="n">
        <v>45674</v>
      </c>
      <c r="D24" t="inlineStr">
        <is>
          <t>VÄSTRA GÖTALANDS LÄN</t>
        </is>
      </c>
      <c r="E24" t="inlineStr">
        <is>
          <t>MUNKEDAL</t>
        </is>
      </c>
      <c r="G24" t="n">
        <v>9.199999999999999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Kungsörn</t>
        </is>
      </c>
      <c r="S24">
        <f>HYPERLINK("https://klasma.github.io/Logging_1430/artfynd/A 59514-2021 artfynd.xlsx", "A 59514-2021")</f>
        <v/>
      </c>
      <c r="T24">
        <f>HYPERLINK("https://klasma.github.io/Logging_1430/kartor/A 59514-2021 karta.png", "A 59514-2021")</f>
        <v/>
      </c>
      <c r="V24">
        <f>HYPERLINK("https://klasma.github.io/Logging_1430/klagomål/A 59514-2021 FSC-klagomål.docx", "A 59514-2021")</f>
        <v/>
      </c>
      <c r="W24">
        <f>HYPERLINK("https://klasma.github.io/Logging_1430/klagomålsmail/A 59514-2021 FSC-klagomål mail.docx", "A 59514-2021")</f>
        <v/>
      </c>
      <c r="X24">
        <f>HYPERLINK("https://klasma.github.io/Logging_1430/tillsyn/A 59514-2021 tillsynsbegäran.docx", "A 59514-2021")</f>
        <v/>
      </c>
      <c r="Y24">
        <f>HYPERLINK("https://klasma.github.io/Logging_1430/tillsynsmail/A 59514-2021 tillsynsbegäran mail.docx", "A 59514-2021")</f>
        <v/>
      </c>
      <c r="Z24">
        <f>HYPERLINK("https://klasma.github.io/Logging_1430/fåglar/A 59514-2021 prioriterade fågelarter.docx", "A 59514-2021")</f>
        <v/>
      </c>
    </row>
    <row r="25" ht="15" customHeight="1">
      <c r="A25" t="inlineStr">
        <is>
          <t>A 6545-2022</t>
        </is>
      </c>
      <c r="B25" s="1" t="n">
        <v>44601</v>
      </c>
      <c r="C25" s="1" t="n">
        <v>45674</v>
      </c>
      <c r="D25" t="inlineStr">
        <is>
          <t>VÄSTRA GÖTALANDS LÄN</t>
        </is>
      </c>
      <c r="E25" t="inlineStr">
        <is>
          <t>MUNKEDAL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6545-2022 artfynd.xlsx", "A 6545-2022")</f>
        <v/>
      </c>
      <c r="T25">
        <f>HYPERLINK("https://klasma.github.io/Logging_1430/kartor/A 6545-2022 karta.png", "A 6545-2022")</f>
        <v/>
      </c>
      <c r="V25">
        <f>HYPERLINK("https://klasma.github.io/Logging_1430/klagomål/A 6545-2022 FSC-klagomål.docx", "A 6545-2022")</f>
        <v/>
      </c>
      <c r="W25">
        <f>HYPERLINK("https://klasma.github.io/Logging_1430/klagomålsmail/A 6545-2022 FSC-klagomål mail.docx", "A 6545-2022")</f>
        <v/>
      </c>
      <c r="X25">
        <f>HYPERLINK("https://klasma.github.io/Logging_1430/tillsyn/A 6545-2022 tillsynsbegäran.docx", "A 6545-2022")</f>
        <v/>
      </c>
      <c r="Y25">
        <f>HYPERLINK("https://klasma.github.io/Logging_1430/tillsynsmail/A 6545-2022 tillsynsbegäran mail.docx", "A 6545-2022")</f>
        <v/>
      </c>
    </row>
    <row r="26" ht="15" customHeight="1">
      <c r="A26" t="inlineStr">
        <is>
          <t>A 16618-2022</t>
        </is>
      </c>
      <c r="B26" s="1" t="n">
        <v>44672</v>
      </c>
      <c r="C26" s="1" t="n">
        <v>45674</v>
      </c>
      <c r="D26" t="inlineStr">
        <is>
          <t>VÄSTRA GÖTALANDS LÄN</t>
        </is>
      </c>
      <c r="E26" t="inlineStr">
        <is>
          <t>MUNKEDAL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HYPERLINK("https://klasma.github.io/Logging_1430/artfynd/A 16618-2022 artfynd.xlsx", "A 16618-2022")</f>
        <v/>
      </c>
      <c r="T26">
        <f>HYPERLINK("https://klasma.github.io/Logging_1430/kartor/A 16618-2022 karta.png", "A 16618-2022")</f>
        <v/>
      </c>
      <c r="V26">
        <f>HYPERLINK("https://klasma.github.io/Logging_1430/klagomål/A 16618-2022 FSC-klagomål.docx", "A 16618-2022")</f>
        <v/>
      </c>
      <c r="W26">
        <f>HYPERLINK("https://klasma.github.io/Logging_1430/klagomålsmail/A 16618-2022 FSC-klagomål mail.docx", "A 16618-2022")</f>
        <v/>
      </c>
      <c r="X26">
        <f>HYPERLINK("https://klasma.github.io/Logging_1430/tillsyn/A 16618-2022 tillsynsbegäran.docx", "A 16618-2022")</f>
        <v/>
      </c>
      <c r="Y26">
        <f>HYPERLINK("https://klasma.github.io/Logging_1430/tillsynsmail/A 16618-2022 tillsynsbegäran mail.docx", "A 16618-2022")</f>
        <v/>
      </c>
    </row>
    <row r="27" ht="15" customHeight="1">
      <c r="A27" t="inlineStr">
        <is>
          <t>A 26040-2022</t>
        </is>
      </c>
      <c r="B27" s="1" t="n">
        <v>44734</v>
      </c>
      <c r="C27" s="1" t="n">
        <v>45674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HYPERLINK("https://klasma.github.io/Logging_1430/artfynd/A 26040-2022 artfynd.xlsx", "A 26040-2022")</f>
        <v/>
      </c>
      <c r="T27">
        <f>HYPERLINK("https://klasma.github.io/Logging_1430/kartor/A 26040-2022 karta.png", "A 26040-2022")</f>
        <v/>
      </c>
      <c r="V27">
        <f>HYPERLINK("https://klasma.github.io/Logging_1430/klagomål/A 26040-2022 FSC-klagomål.docx", "A 26040-2022")</f>
        <v/>
      </c>
      <c r="W27">
        <f>HYPERLINK("https://klasma.github.io/Logging_1430/klagomålsmail/A 26040-2022 FSC-klagomål mail.docx", "A 26040-2022")</f>
        <v/>
      </c>
      <c r="X27">
        <f>HYPERLINK("https://klasma.github.io/Logging_1430/tillsyn/A 26040-2022 tillsynsbegäran.docx", "A 26040-2022")</f>
        <v/>
      </c>
      <c r="Y27">
        <f>HYPERLINK("https://klasma.github.io/Logging_1430/tillsynsmail/A 26040-2022 tillsynsbegäran mail.docx", "A 26040-2022")</f>
        <v/>
      </c>
    </row>
    <row r="28" ht="15" customHeight="1">
      <c r="A28" t="inlineStr">
        <is>
          <t>A 39812-2022</t>
        </is>
      </c>
      <c r="B28" s="1" t="n">
        <v>44817</v>
      </c>
      <c r="C28" s="1" t="n">
        <v>45674</v>
      </c>
      <c r="D28" t="inlineStr">
        <is>
          <t>VÄSTRA GÖTALANDS LÄN</t>
        </is>
      </c>
      <c r="E28" t="inlineStr">
        <is>
          <t>MUNKEDAL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39812-2022 artfynd.xlsx", "A 39812-2022")</f>
        <v/>
      </c>
      <c r="T28">
        <f>HYPERLINK("https://klasma.github.io/Logging_1430/kartor/A 39812-2022 karta.png", "A 39812-2022")</f>
        <v/>
      </c>
      <c r="V28">
        <f>HYPERLINK("https://klasma.github.io/Logging_1430/klagomål/A 39812-2022 FSC-klagomål.docx", "A 39812-2022")</f>
        <v/>
      </c>
      <c r="W28">
        <f>HYPERLINK("https://klasma.github.io/Logging_1430/klagomålsmail/A 39812-2022 FSC-klagomål mail.docx", "A 39812-2022")</f>
        <v/>
      </c>
      <c r="X28">
        <f>HYPERLINK("https://klasma.github.io/Logging_1430/tillsyn/A 39812-2022 tillsynsbegäran.docx", "A 39812-2022")</f>
        <v/>
      </c>
      <c r="Y28">
        <f>HYPERLINK("https://klasma.github.io/Logging_1430/tillsynsmail/A 39812-2022 tillsynsbegäran mail.docx", "A 39812-2022")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45674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45674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45674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36898-2023</t>
        </is>
      </c>
      <c r="B32" s="1" t="n">
        <v>45154</v>
      </c>
      <c r="C32" s="1" t="n">
        <v>45674</v>
      </c>
      <c r="D32" t="inlineStr">
        <is>
          <t>VÄSTRA GÖTALANDS LÄN</t>
        </is>
      </c>
      <c r="E32" t="inlineStr">
        <is>
          <t>MUNKEDAL</t>
        </is>
      </c>
      <c r="G32" t="n">
        <v>34.3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HYPERLINK("https://klasma.github.io/Logging_1430/artfynd/A 36898-2023 artfynd.xlsx", "A 36898-2023")</f>
        <v/>
      </c>
      <c r="T32">
        <f>HYPERLINK("https://klasma.github.io/Logging_1430/kartor/A 36898-2023 karta.png", "A 36898-2023")</f>
        <v/>
      </c>
      <c r="V32">
        <f>HYPERLINK("https://klasma.github.io/Logging_1430/klagomål/A 36898-2023 FSC-klagomål.docx", "A 36898-2023")</f>
        <v/>
      </c>
      <c r="W32">
        <f>HYPERLINK("https://klasma.github.io/Logging_1430/klagomålsmail/A 36898-2023 FSC-klagomål mail.docx", "A 36898-2023")</f>
        <v/>
      </c>
      <c r="X32">
        <f>HYPERLINK("https://klasma.github.io/Logging_1430/tillsyn/A 36898-2023 tillsynsbegäran.docx", "A 36898-2023")</f>
        <v/>
      </c>
      <c r="Y32">
        <f>HYPERLINK("https://klasma.github.io/Logging_1430/tillsynsmail/A 36898-2023 tillsynsbegäran mail.docx", "A 36898-2023")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45674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2531-2024</t>
        </is>
      </c>
      <c r="B34" s="1" t="n">
        <v>45313</v>
      </c>
      <c r="C34" s="1" t="n">
        <v>45674</v>
      </c>
      <c r="D34" t="inlineStr">
        <is>
          <t>VÄSTRA GÖTALANDS LÄN</t>
        </is>
      </c>
      <c r="E34" t="inlineStr">
        <is>
          <t>MUNKEDAL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2531-2024 artfynd.xlsx", "A 2531-2024")</f>
        <v/>
      </c>
      <c r="T34">
        <f>HYPERLINK("https://klasma.github.io/Logging_1430/kartor/A 2531-2024 karta.png", "A 2531-2024")</f>
        <v/>
      </c>
      <c r="V34">
        <f>HYPERLINK("https://klasma.github.io/Logging_1430/klagomål/A 2531-2024 FSC-klagomål.docx", "A 2531-2024")</f>
        <v/>
      </c>
      <c r="W34">
        <f>HYPERLINK("https://klasma.github.io/Logging_1430/klagomålsmail/A 2531-2024 FSC-klagomål mail.docx", "A 2531-2024")</f>
        <v/>
      </c>
      <c r="X34">
        <f>HYPERLINK("https://klasma.github.io/Logging_1430/tillsyn/A 2531-2024 tillsynsbegäran.docx", "A 2531-2024")</f>
        <v/>
      </c>
      <c r="Y34">
        <f>HYPERLINK("https://klasma.github.io/Logging_1430/tillsynsmail/A 2531-2024 tillsynsbegäran mail.docx", "A 2531-2024")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45674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45674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45674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45674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45674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45674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45674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45674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45674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45674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45674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45674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45674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45674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45674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45674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45674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45674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45674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45674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45674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45674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45674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45674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45674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45674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45674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45674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45674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45674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45674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45674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45674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45674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45674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45674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45674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45674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45674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45674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45674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45674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45674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45674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45674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45674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45674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45674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45674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45674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45674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45674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45674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45674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45674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45674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45674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45674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45674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45674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45674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45674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45674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45674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45674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45674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45674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45674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45674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45674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45674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45674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45674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45674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45674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45674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45674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45674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45674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45674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45674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45674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45674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45674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45674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45674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45674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45674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45674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45674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45674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45674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45674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45674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45674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45674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45674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45674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45674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45674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45674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45674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45674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45674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45674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45674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45674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45674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45674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45674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45674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45674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45674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45674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45674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45674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45674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45674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45674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45674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45674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45674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45674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45674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45674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45674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45674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45674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45674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45674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45674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45674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45674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45674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45674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45674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45674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45674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45674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45674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45674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45674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45674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45674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45674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45674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45674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45674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45674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45674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45674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45674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45674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45674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45674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45674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45674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45674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45674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45674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45674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45674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45674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45674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45674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45674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45674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45674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45674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45674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45674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45674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45674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45674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45674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45674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45674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45674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45674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45674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45674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45674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45674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45674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45674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45674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45674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45674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45674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45674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45674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45674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45674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45674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45674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45674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45674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45674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45674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45674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45674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45674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45674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45674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45674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45674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45674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45674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45674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45674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45674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45674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45674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45674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45674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45674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45674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45674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45674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45674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45674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45674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45674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45674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45674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45674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45674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45674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45674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45674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45674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45674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45674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45674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45674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45674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45674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45674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45674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45674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45674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45674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45674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45674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45674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45674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45674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45674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45674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45674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45674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45674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45674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45674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45674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45674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45674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45674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45674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45674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45674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45674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45674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45674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45674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45674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45674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45674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45674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45674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45674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45674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45674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45674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45674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45674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45674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45674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45674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45674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45674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45674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45674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45674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45674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45674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45674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45674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45674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45674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45674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45674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45674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45674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45674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45674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45674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45674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45674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45674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45674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45674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45674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45674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45674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45674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45674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45674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45674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45674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45674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45674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45674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45674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45674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45674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45674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45674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45674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45674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45674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45674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45674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45674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45674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45674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45674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45674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45674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45674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45674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45674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45674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45674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45674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45674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45674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45674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45674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45674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45674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45674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45674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45674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45674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45674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45674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45674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45674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45674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45674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45674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45674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45674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45674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45674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45674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45674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45674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45674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45674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45674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45674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45674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45674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45674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45674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45674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45674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45674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45674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45674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45674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45674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45674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45674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45674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45674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45674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45674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45674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45674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45674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45674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45674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45674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45674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45674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45674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45674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45674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45674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45674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45674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45674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45674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45674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45674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45674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45674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45674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45674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45674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45674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45674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45674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45674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45674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45674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45674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45674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45674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45674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45674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45674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45674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45674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45674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45674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45674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45674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45674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45674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45674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45674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45674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45674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45674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45674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45674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45674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45674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45674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45674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45674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45674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45674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45674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45674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45674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45674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45674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45674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45674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45674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45674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45674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45674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45674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45674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45674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45674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45674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45674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45674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45674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45674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45674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45674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45674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45674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45674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45674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45674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45674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45674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45674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45674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45674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45674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45674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45674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45674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45674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45674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45674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45674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45674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45674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45674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45674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45674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45674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45674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45674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45674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45674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45674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45674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45674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45674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45674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45674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45674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45674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45674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45674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45674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45674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45674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45674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45674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45674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45674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45674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45674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45674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45674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45674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45674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45674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45674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45674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45674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45674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45674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45674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45674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45674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45674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45674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45674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45674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45674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45674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45674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45674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45674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45674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45674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45674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45674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45674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45674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45674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45674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45674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45674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45674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45674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45674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45674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45674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45674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45674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45674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45674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45674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45674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45674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45674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45674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45674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45674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45674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45674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45674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45674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45674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45674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45674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45674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45674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45674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45674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45674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45674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45674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45674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45674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45674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45674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45674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45674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45674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45674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45674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45674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45674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45674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45674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45674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45674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45674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45674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45674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59257-2024</t>
        </is>
      </c>
      <c r="B621" s="1" t="n">
        <v>45636</v>
      </c>
      <c r="C621" s="1" t="n">
        <v>45674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58933-2024</t>
        </is>
      </c>
      <c r="B622" s="1" t="n">
        <v>45636</v>
      </c>
      <c r="C622" s="1" t="n">
        <v>45674</v>
      </c>
      <c r="D622" t="inlineStr">
        <is>
          <t>VÄSTRA GÖTALANDS LÄN</t>
        </is>
      </c>
      <c r="E622" t="inlineStr">
        <is>
          <t>MUNKEDAL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60231-2024</t>
        </is>
      </c>
      <c r="B623" s="1" t="n">
        <v>45640</v>
      </c>
      <c r="C623" s="1" t="n">
        <v>45674</v>
      </c>
      <c r="D623" t="inlineStr">
        <is>
          <t>VÄSTRA GÖTALANDS LÄN</t>
        </is>
      </c>
      <c r="E623" t="inlineStr">
        <is>
          <t>MUNKEDAL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60227-2024</t>
        </is>
      </c>
      <c r="B624" s="1" t="n">
        <v>45640</v>
      </c>
      <c r="C624" s="1" t="n">
        <v>45674</v>
      </c>
      <c r="D624" t="inlineStr">
        <is>
          <t>VÄSTRA GÖTALANDS LÄN</t>
        </is>
      </c>
      <c r="E624" t="inlineStr">
        <is>
          <t>MUNKEDAL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60230-2024</t>
        </is>
      </c>
      <c r="B625" s="1" t="n">
        <v>45640</v>
      </c>
      <c r="C625" s="1" t="n">
        <v>45674</v>
      </c>
      <c r="D625" t="inlineStr">
        <is>
          <t>VÄSTRA GÖTALANDS LÄN</t>
        </is>
      </c>
      <c r="E625" t="inlineStr">
        <is>
          <t>MUNKEDAL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60228-2024</t>
        </is>
      </c>
      <c r="B626" s="1" t="n">
        <v>45640</v>
      </c>
      <c r="C626" s="1" t="n">
        <v>45674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60229-2024</t>
        </is>
      </c>
      <c r="B627" s="1" t="n">
        <v>45640</v>
      </c>
      <c r="C627" s="1" t="n">
        <v>45674</v>
      </c>
      <c r="D627" t="inlineStr">
        <is>
          <t>VÄSTRA GÖTALANDS LÄN</t>
        </is>
      </c>
      <c r="E627" t="inlineStr">
        <is>
          <t>MUNKEDAL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60439-2024</t>
        </is>
      </c>
      <c r="B628" s="1" t="n">
        <v>45643</v>
      </c>
      <c r="C628" s="1" t="n">
        <v>45674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910-2025</t>
        </is>
      </c>
      <c r="B629" s="1" t="n">
        <v>45664</v>
      </c>
      <c r="C629" s="1" t="n">
        <v>45674</v>
      </c>
      <c r="D629" t="inlineStr">
        <is>
          <t>VÄSTRA GÖTALANDS LÄN</t>
        </is>
      </c>
      <c r="E629" t="inlineStr">
        <is>
          <t>MUNKEDAL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912-2025</t>
        </is>
      </c>
      <c r="B630" s="1" t="n">
        <v>45664</v>
      </c>
      <c r="C630" s="1" t="n">
        <v>45674</v>
      </c>
      <c r="D630" t="inlineStr">
        <is>
          <t>VÄSTRA GÖTALANDS LÄN</t>
        </is>
      </c>
      <c r="E630" t="inlineStr">
        <is>
          <t>MUNKEDAL</t>
        </is>
      </c>
      <c r="F630" t="inlineStr">
        <is>
          <t>Övriga Aktiebolag</t>
        </is>
      </c>
      <c r="G630" t="n">
        <v>18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1135-2025</t>
        </is>
      </c>
      <c r="B631" s="1" t="n">
        <v>45666</v>
      </c>
      <c r="C631" s="1" t="n">
        <v>45674</v>
      </c>
      <c r="D631" t="inlineStr">
        <is>
          <t>VÄSTRA GÖTALANDS LÄN</t>
        </is>
      </c>
      <c r="E631" t="inlineStr">
        <is>
          <t>MUNKEDAL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1559-2025</t>
        </is>
      </c>
      <c r="B632" s="1" t="n">
        <v>45667</v>
      </c>
      <c r="C632" s="1" t="n">
        <v>45674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1553-2025</t>
        </is>
      </c>
      <c r="B633" s="1" t="n">
        <v>45667</v>
      </c>
      <c r="C633" s="1" t="n">
        <v>45674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1690-2025</t>
        </is>
      </c>
      <c r="B634" s="1" t="n">
        <v>45670</v>
      </c>
      <c r="C634" s="1" t="n">
        <v>45674</v>
      </c>
      <c r="D634" t="inlineStr">
        <is>
          <t>VÄSTRA GÖTALANDS LÄN</t>
        </is>
      </c>
      <c r="E634" t="inlineStr">
        <is>
          <t>MUNKEDAL</t>
        </is>
      </c>
      <c r="G634" t="n">
        <v>11.1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2353-2025</t>
        </is>
      </c>
      <c r="B635" s="1" t="n">
        <v>45672</v>
      </c>
      <c r="C635" s="1" t="n">
        <v>45674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2025-01-17T16:19:38Z</dcterms:created>
  <dcterms:modified xmlns:dcterms="http://purl.org/dc/terms/" xmlns:xsi="http://www.w3.org/2001/XMLSchema-instance" xsi:type="dcterms:W3CDTF">2025-01-17T16:19:38Z</dcterms:modified>
</cp:coreProperties>
</file>