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46311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46311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46311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46311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46311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46311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46311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46311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46311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46311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46311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46311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37035-2024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46311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Övriga Aktiebolag</t>
        </is>
      </c>
      <c r="I15" t="n">
        <v>43.6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HYPERLINK("https://klasma.github.io/Logging_1430/artfynd/A 37035-2024 artfynd.xlsx", "A 37035-2024")</f>
        <v/>
      </c>
      <c r="X15">
        <f>HYPERLINK("https://klasma.github.io/Logging_1430/kartor/A 37035-2024 karta.png", "A 37035-2024")</f>
        <v/>
      </c>
      <c r="Y15">
        <f>HYPERLINK("https://klasma.github.io/Logging_1430/kartor_geotiff/A 37035-2024 georefererad karta.tif", "A 37035-2024")</f>
        <v/>
      </c>
      <c r="AA15">
        <f>HYPERLINK("https://klasma.github.io/Logging_1430/klagomål/A 37035-2024 FSC-klagomål.docx", "A 37035-2024")</f>
        <v/>
      </c>
      <c r="AB15">
        <f>HYPERLINK("https://klasma.github.io/Logging_1430/klagomålsmail/A 37035-2024 FSC-klagomål mail.docx", "A 37035-2024")</f>
        <v/>
      </c>
      <c r="AC15">
        <f>HYPERLINK("https://klasma.github.io/Logging_1430/tillsyn/A 37035-2024 tillsynsbegäran.docx", "A 37035-2024")</f>
        <v/>
      </c>
      <c r="AD15">
        <f>HYPERLINK("https://klasma.github.io/Logging_1430/tillsynsmail/A 37035-2024 tillsynsbegäran mail.docx", "A 37035-2024")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46311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46311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46311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20258-2022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46311</v>
      </c>
      <c r="F19" t="inlineStr">
        <is>
          <t>VÄSTRA GÖTALANDS LÄN</t>
        </is>
      </c>
      <c r="G19" t="inlineStr">
        <is>
          <t>MUNKEDAL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Honungsvaxing</t>
        </is>
      </c>
      <c r="W19">
        <f>HYPERLINK("https://klasma.github.io/Logging_1430/artfynd/A 20258-2022 artfynd.xlsx", "A 20258-2022")</f>
        <v/>
      </c>
      <c r="X19">
        <f>HYPERLINK("https://klasma.github.io/Logging_1430/kartor/A 20258-2022 karta.png", "A 20258-2022")</f>
        <v/>
      </c>
      <c r="Y19">
        <f>HYPERLINK("https://klasma.github.io/Logging_1430/kartor_geotiff/A 20258-2022 georefererad karta.tif", "A 20258-2022")</f>
        <v/>
      </c>
      <c r="AA19">
        <f>HYPERLINK("https://klasma.github.io/Logging_1430/klagomål/A 20258-2022 FSC-klagomål.docx", "A 20258-2022")</f>
        <v/>
      </c>
      <c r="AB19">
        <f>HYPERLINK("https://klasma.github.io/Logging_1430/klagomålsmail/A 20258-2022 FSC-klagomål mail.docx", "A 20258-2022")</f>
        <v/>
      </c>
      <c r="AC19">
        <f>HYPERLINK("https://klasma.github.io/Logging_1430/tillsyn/A 20258-2022 tillsynsbegäran.docx", "A 20258-2022")</f>
        <v/>
      </c>
      <c r="AD19">
        <f>HYPERLINK("https://klasma.github.io/Logging_1430/tillsynsmail/A 20258-2022 tillsynsbegäran mail.docx", "A 20258-2022")</f>
        <v/>
      </c>
    </row>
    <row r="20" ht="15" customHeight="1">
      <c r="A20" t="inlineStr">
        <is>
          <t>A 2887-2025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45677</v>
      </c>
      <c r="E20" s="1" t="n">
        <v>46311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9.699999999999999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Krusfrö</t>
        </is>
      </c>
      <c r="W20">
        <f>HYPERLINK("https://klasma.github.io/Logging_1430/artfynd/A 2887-2025 artfynd.xlsx", "A 2887-2025")</f>
        <v/>
      </c>
      <c r="X20">
        <f>HYPERLINK("https://klasma.github.io/Logging_1430/kartor/A 2887-2025 karta.png", "A 2887-2025")</f>
        <v/>
      </c>
      <c r="Y20">
        <f>HYPERLINK("https://klasma.github.io/Logging_1430/kartor_geotiff/A 2887-2025 georefererad karta.tif", "A 2887-2025")</f>
        <v/>
      </c>
      <c r="AA20">
        <f>HYPERLINK("https://klasma.github.io/Logging_1430/klagomål/A 2887-2025 FSC-klagomål.docx", "A 2887-2025")</f>
        <v/>
      </c>
      <c r="AB20">
        <f>HYPERLINK("https://klasma.github.io/Logging_1430/klagomålsmail/A 2887-2025 FSC-klagomål mail.docx", "A 2887-2025")</f>
        <v/>
      </c>
      <c r="AC20">
        <f>HYPERLINK("https://klasma.github.io/Logging_1430/tillsyn/A 2887-2025 tillsynsbegäran.docx", "A 2887-2025")</f>
        <v/>
      </c>
      <c r="AD20">
        <f>HYPERLINK("https://klasma.github.io/Logging_1430/tillsynsmail/A 2887-2025 tillsynsbegäran mail.docx", "A 2887-2025")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46311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46311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62525-2021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44503</v>
      </c>
      <c r="E23" s="1" t="n">
        <v>46311</v>
      </c>
      <c r="F23" t="inlineStr">
        <is>
          <t>VÄSTRA GÖTALANDS LÄN</t>
        </is>
      </c>
      <c r="G23" t="inlineStr">
        <is>
          <t>MUNKEDAL</t>
        </is>
      </c>
      <c r="I23" t="n">
        <v>14.5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Trollsmultron</t>
        </is>
      </c>
      <c r="W23">
        <f>HYPERLINK("https://klasma.github.io/Logging_1430/artfynd/A 62525-2021 artfynd.xlsx", "A 62525-2021")</f>
        <v/>
      </c>
      <c r="X23">
        <f>HYPERLINK("https://klasma.github.io/Logging_1430/kartor/A 62525-2021 karta.png", "A 62525-2021")</f>
        <v/>
      </c>
      <c r="Y23">
        <f>HYPERLINK("https://klasma.github.io/Logging_1430/kartor_geotiff/A 62525-2021 georefererad karta.tif", "A 62525-2021")</f>
        <v/>
      </c>
      <c r="AA23">
        <f>HYPERLINK("https://klasma.github.io/Logging_1430/klagomål/A 62525-2021 FSC-klagomål.docx", "A 62525-2021")</f>
        <v/>
      </c>
      <c r="AB23">
        <f>HYPERLINK("https://klasma.github.io/Logging_1430/klagomålsmail/A 62525-2021 FSC-klagomål mail.docx", "A 62525-2021")</f>
        <v/>
      </c>
      <c r="AC23">
        <f>HYPERLINK("https://klasma.github.io/Logging_1430/tillsyn/A 62525-2021 tillsynsbegäran.docx", "A 62525-2021")</f>
        <v/>
      </c>
      <c r="AD23">
        <f>HYPERLINK("https://klasma.github.io/Logging_1430/tillsynsmail/A 62525-2021 tillsynsbegäran mail.docx", "A 62525-2021")</f>
        <v/>
      </c>
    </row>
    <row r="24" ht="15" customHeight="1">
      <c r="A24" t="inlineStr">
        <is>
          <t>A 22963-2026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46160</v>
      </c>
      <c r="E24" s="1" t="n">
        <v>46311</v>
      </c>
      <c r="F24" t="inlineStr">
        <is>
          <t>VÄSTRA GÖTALANDS LÄN</t>
        </is>
      </c>
      <c r="G24" t="inlineStr">
        <is>
          <t>MUNKEDAL</t>
        </is>
      </c>
      <c r="I24" t="n">
        <v>2.9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22963-2026 artfynd.xlsx", "A 22963-2026")</f>
        <v/>
      </c>
      <c r="X24">
        <f>HYPERLINK("https://klasma.github.io/Logging_1430/kartor/A 22963-2026 karta.png", "A 22963-2026")</f>
        <v/>
      </c>
      <c r="Y24">
        <f>HYPERLINK("https://klasma.github.io/Logging_1430/kartor_geotiff/A 22963-2026 georefererad karta.tif", "A 22963-2026")</f>
        <v/>
      </c>
      <c r="AA24">
        <f>HYPERLINK("https://klasma.github.io/Logging_1430/klagomål/A 22963-2026 FSC-klagomål.docx", "A 22963-2026")</f>
        <v/>
      </c>
      <c r="AB24">
        <f>HYPERLINK("https://klasma.github.io/Logging_1430/klagomålsmail/A 22963-2026 FSC-klagomål mail.docx", "A 22963-2026")</f>
        <v/>
      </c>
      <c r="AC24">
        <f>HYPERLINK("https://klasma.github.io/Logging_1430/tillsyn/A 22963-2026 tillsynsbegäran.docx", "A 22963-2026")</f>
        <v/>
      </c>
      <c r="AD24">
        <f>HYPERLINK("https://klasma.github.io/Logging_1430/tillsynsmail/A 22963-2026 tillsynsbegäran mail.docx", "A 22963-2026")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46311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46311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16618-2022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44672</v>
      </c>
      <c r="E27" s="1" t="n">
        <v>46311</v>
      </c>
      <c r="F27" t="inlineStr">
        <is>
          <t>VÄSTRA GÖTALANDS LÄN</t>
        </is>
      </c>
      <c r="G27" t="inlineStr">
        <is>
          <t>MUNKEDAL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Vanlig padda</t>
        </is>
      </c>
      <c r="W27">
        <f>HYPERLINK("https://klasma.github.io/Logging_1430/artfynd/A 16618-2022 artfynd.xlsx", "A 16618-2022")</f>
        <v/>
      </c>
      <c r="X27">
        <f>HYPERLINK("https://klasma.github.io/Logging_1430/kartor/A 16618-2022 karta.png", "A 16618-2022")</f>
        <v/>
      </c>
      <c r="Y27">
        <f>HYPERLINK("https://klasma.github.io/Logging_1430/kartor_geotiff/A 16618-2022 georefererad karta.tif", "A 16618-2022")</f>
        <v/>
      </c>
      <c r="AA27">
        <f>HYPERLINK("https://klasma.github.io/Logging_1430/klagomål/A 16618-2022 FSC-klagomål.docx", "A 16618-2022")</f>
        <v/>
      </c>
      <c r="AB27">
        <f>HYPERLINK("https://klasma.github.io/Logging_1430/klagomålsmail/A 16618-2022 FSC-klagomål mail.docx", "A 16618-2022")</f>
        <v/>
      </c>
      <c r="AC27">
        <f>HYPERLINK("https://klasma.github.io/Logging_1430/tillsyn/A 16618-2022 tillsynsbegäran.docx", "A 16618-2022")</f>
        <v/>
      </c>
      <c r="AD27">
        <f>HYPERLINK("https://klasma.github.io/Logging_1430/tillsynsmail/A 16618-2022 tillsynsbegäran mail.docx", "A 16618-2022")</f>
        <v/>
      </c>
    </row>
    <row r="28" ht="15" customHeight="1">
      <c r="A28" t="inlineStr">
        <is>
          <t>A 51398-2025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46311</v>
      </c>
      <c r="F28" t="inlineStr">
        <is>
          <t>VÄSTRA GÖTALANDS LÄN</t>
        </is>
      </c>
      <c r="G28" t="inlineStr">
        <is>
          <t>MUNKEDAL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HYPERLINK("https://klasma.github.io/Logging_1430/artfynd/A 51398-2025 artfynd.xlsx", "A 51398-2025")</f>
        <v/>
      </c>
      <c r="X28">
        <f>HYPERLINK("https://klasma.github.io/Logging_1430/kartor/A 51398-2025 karta.png", "A 51398-2025")</f>
        <v/>
      </c>
      <c r="Y28">
        <f>HYPERLINK("https://klasma.github.io/Logging_1430/kartor_geotiff/A 51398-2025 georefererad karta.tif", "A 51398-2025")</f>
        <v/>
      </c>
      <c r="AA28">
        <f>HYPERLINK("https://klasma.github.io/Logging_1430/klagomål/A 51398-2025 FSC-klagomål.docx", "A 51398-2025")</f>
        <v/>
      </c>
      <c r="AB28">
        <f>HYPERLINK("https://klasma.github.io/Logging_1430/klagomålsmail/A 51398-2025 FSC-klagomål mail.docx", "A 51398-2025")</f>
        <v/>
      </c>
      <c r="AC28">
        <f>HYPERLINK("https://klasma.github.io/Logging_1430/tillsyn/A 51398-2025 tillsynsbegäran.docx", "A 51398-2025")</f>
        <v/>
      </c>
      <c r="AD28">
        <f>HYPERLINK("https://klasma.github.io/Logging_1430/tillsynsmail/A 51398-2025 tillsynsbegäran mail.docx", "A 51398-2025")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46311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46311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46311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46311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46311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46311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46311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46311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46311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46311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46311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46311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46311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46311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46311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46311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44609</v>
      </c>
      <c r="E45" s="1" t="n">
        <v>46311</v>
      </c>
      <c r="F45" t="inlineStr">
        <is>
          <t>VÄSTRA GÖTALANDS LÄN</t>
        </is>
      </c>
      <c r="G45" t="inlineStr">
        <is>
          <t>MUNKEDAL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46311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46311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Kommuner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46311</v>
      </c>
      <c r="F48" t="inlineStr">
        <is>
          <t>VÄSTRA GÖTALANDS LÄN</t>
        </is>
      </c>
      <c r="G48" t="inlineStr">
        <is>
          <t>MUNKEDAL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46311</v>
      </c>
      <c r="F49" t="inlineStr">
        <is>
          <t>VÄSTRA GÖTALANDS LÄN</t>
        </is>
      </c>
      <c r="G49" t="inlineStr">
        <is>
          <t>MUNKEDAL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19887-2022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46311</v>
      </c>
      <c r="F50" t="inlineStr">
        <is>
          <t>VÄSTRA GÖTALANDS LÄN</t>
        </is>
      </c>
      <c r="G50" t="inlineStr">
        <is>
          <t>MUNKEDAL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21129-2022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46311</v>
      </c>
      <c r="F51" t="inlineStr">
        <is>
          <t>VÄSTRA GÖTALANDS LÄN</t>
        </is>
      </c>
      <c r="G51" t="inlineStr">
        <is>
          <t>MUNKEDAL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46311</v>
      </c>
      <c r="F52" t="inlineStr">
        <is>
          <t>VÄSTRA GÖTALANDS LÄN</t>
        </is>
      </c>
      <c r="G52" t="inlineStr">
        <is>
          <t>MUNKEDAL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20220-2023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45055</v>
      </c>
      <c r="E53" s="1" t="n">
        <v>46311</v>
      </c>
      <c r="F53" t="inlineStr">
        <is>
          <t>VÄSTRA GÖTALANDS LÄN</t>
        </is>
      </c>
      <c r="G53" t="inlineStr">
        <is>
          <t>MUNKEDAL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62331-2023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46311</v>
      </c>
      <c r="F54" t="inlineStr">
        <is>
          <t>VÄSTRA GÖTALANDS LÄN</t>
        </is>
      </c>
      <c r="G54" t="inlineStr">
        <is>
          <t>MUNKEDAL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25607-2025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46311</v>
      </c>
      <c r="F55" t="inlineStr">
        <is>
          <t>VÄSTRA GÖTALANDS LÄN</t>
        </is>
      </c>
      <c r="G55" t="inlineStr">
        <is>
          <t>MUNKEDAL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46311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46311</v>
      </c>
      <c r="F57" t="inlineStr">
        <is>
          <t>VÄSTRA GÖTALANDS LÄN</t>
        </is>
      </c>
      <c r="G57" t="inlineStr">
        <is>
          <t>MUNKEDAL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46311</v>
      </c>
      <c r="F58" t="inlineStr">
        <is>
          <t>VÄSTRA GÖTALANDS LÄN</t>
        </is>
      </c>
      <c r="G58" t="inlineStr">
        <is>
          <t>MUNKEDAL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46311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46311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44774</v>
      </c>
      <c r="E61" s="1" t="n">
        <v>46311</v>
      </c>
      <c r="F61" t="inlineStr">
        <is>
          <t>VÄSTRA GÖTALANDS LÄN</t>
        </is>
      </c>
      <c r="G61" t="inlineStr">
        <is>
          <t>MUNKEDAL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44694</v>
      </c>
      <c r="E62" s="1" t="n">
        <v>46311</v>
      </c>
      <c r="F62" t="inlineStr">
        <is>
          <t>VÄSTRA GÖTALANDS LÄN</t>
        </is>
      </c>
      <c r="G62" t="inlineStr">
        <is>
          <t>MUNKEDAL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58617-2023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45251</v>
      </c>
      <c r="E63" s="1" t="n">
        <v>46311</v>
      </c>
      <c r="F63" t="inlineStr">
        <is>
          <t>VÄSTRA GÖTALANDS LÄN</t>
        </is>
      </c>
      <c r="G63" t="inlineStr">
        <is>
          <t>MUNKEDAL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46311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45071</v>
      </c>
      <c r="E65" s="1" t="n">
        <v>46311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Naturvårdsverket</t>
        </is>
      </c>
      <c r="I65" t="n">
        <v>15.8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40647-2024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45557</v>
      </c>
      <c r="E66" s="1" t="n">
        <v>46311</v>
      </c>
      <c r="F66" t="inlineStr">
        <is>
          <t>VÄSTRA GÖTALANDS LÄN</t>
        </is>
      </c>
      <c r="G66" t="inlineStr">
        <is>
          <t>MUNKEDAL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46311</v>
      </c>
      <c r="F67" t="inlineStr">
        <is>
          <t>VÄSTRA GÖTALANDS LÄN</t>
        </is>
      </c>
      <c r="G67" t="inlineStr">
        <is>
          <t>MUNKEDAL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30555-2023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46311</v>
      </c>
      <c r="F68" t="inlineStr">
        <is>
          <t>VÄSTRA GÖTALANDS LÄN</t>
        </is>
      </c>
      <c r="G68" t="inlineStr">
        <is>
          <t>MUNKEDAL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46311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67233-2021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46311</v>
      </c>
      <c r="F70" t="inlineStr">
        <is>
          <t>VÄSTRA GÖTALANDS LÄN</t>
        </is>
      </c>
      <c r="G70" t="inlineStr">
        <is>
          <t>MUNKEDAL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44588</v>
      </c>
      <c r="E71" s="1" t="n">
        <v>46311</v>
      </c>
      <c r="F71" t="inlineStr">
        <is>
          <t>VÄSTRA GÖTALANDS LÄN</t>
        </is>
      </c>
      <c r="G71" t="inlineStr">
        <is>
          <t>MUNKEDAL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46311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46311</v>
      </c>
      <c r="F73" t="inlineStr">
        <is>
          <t>VÄSTRA GÖTALANDS LÄN</t>
        </is>
      </c>
      <c r="G73" t="inlineStr">
        <is>
          <t>MUNKEDAL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46311</v>
      </c>
      <c r="F74" t="inlineStr">
        <is>
          <t>VÄSTRA GÖTALANDS LÄN</t>
        </is>
      </c>
      <c r="G74" t="inlineStr">
        <is>
          <t>MUNKEDAL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45261</v>
      </c>
      <c r="E75" s="1" t="n">
        <v>46311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30031-2025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46311</v>
      </c>
      <c r="F76" t="inlineStr">
        <is>
          <t>VÄSTRA GÖTALANDS LÄN</t>
        </is>
      </c>
      <c r="G76" t="inlineStr">
        <is>
          <t>MUNKEDAL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46311</v>
      </c>
      <c r="F77" t="inlineStr">
        <is>
          <t>VÄSTRA GÖTALANDS LÄN</t>
        </is>
      </c>
      <c r="G77" t="inlineStr">
        <is>
          <t>MUNKEDAL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46311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Kyrkan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45362</v>
      </c>
      <c r="E79" s="1" t="n">
        <v>46311</v>
      </c>
      <c r="F79" t="inlineStr">
        <is>
          <t>VÄSTRA GÖTALANDS LÄN</t>
        </is>
      </c>
      <c r="G79" t="inlineStr">
        <is>
          <t>MUNKEDAL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46311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46311</v>
      </c>
      <c r="F81" t="inlineStr">
        <is>
          <t>VÄSTRA GÖTALANDS LÄN</t>
        </is>
      </c>
      <c r="G81" t="inlineStr">
        <is>
          <t>MUNKEDAL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46311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46311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Kyrkan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45478</v>
      </c>
      <c r="E84" s="1" t="n">
        <v>46311</v>
      </c>
      <c r="F84" t="inlineStr">
        <is>
          <t>VÄSTRA GÖTALANDS LÄN</t>
        </is>
      </c>
      <c r="G84" t="inlineStr">
        <is>
          <t>MUNKEDAL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31176-2025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46311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46311</v>
      </c>
      <c r="F86" t="inlineStr">
        <is>
          <t>VÄSTRA GÖTALANDS LÄN</t>
        </is>
      </c>
      <c r="G86" t="inlineStr">
        <is>
          <t>MUNKEDAL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46311</v>
      </c>
      <c r="F87" t="inlineStr">
        <is>
          <t>VÄSTRA GÖTALANDS LÄN</t>
        </is>
      </c>
      <c r="G87" t="inlineStr">
        <is>
          <t>MUNKEDAL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46311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45418</v>
      </c>
      <c r="E89" s="1" t="n">
        <v>46311</v>
      </c>
      <c r="F89" t="inlineStr">
        <is>
          <t>VÄSTRA GÖTALANDS LÄN</t>
        </is>
      </c>
      <c r="G89" t="inlineStr">
        <is>
          <t>MUNKEDAL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45632</v>
      </c>
      <c r="E90" s="1" t="n">
        <v>46311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46311</v>
      </c>
      <c r="F91" t="inlineStr">
        <is>
          <t>VÄSTRA GÖTALANDS LÄN</t>
        </is>
      </c>
      <c r="G91" t="inlineStr">
        <is>
          <t>MUNKEDAL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46311</v>
      </c>
      <c r="F92" t="inlineStr">
        <is>
          <t>VÄSTRA GÖTALANDS LÄN</t>
        </is>
      </c>
      <c r="G92" t="inlineStr">
        <is>
          <t>MUNKEDAL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45849</v>
      </c>
      <c r="E93" s="1" t="n">
        <v>46311</v>
      </c>
      <c r="F93" t="inlineStr">
        <is>
          <t>VÄSTRA GÖTALANDS LÄN</t>
        </is>
      </c>
      <c r="G93" t="inlineStr">
        <is>
          <t>MUNKEDAL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46311</v>
      </c>
      <c r="F94" t="inlineStr">
        <is>
          <t>VÄSTRA GÖTALANDS LÄN</t>
        </is>
      </c>
      <c r="G94" t="inlineStr">
        <is>
          <t>MUNKEDAL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46311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46311</v>
      </c>
      <c r="F96" t="inlineStr">
        <is>
          <t>VÄSTRA GÖTALANDS LÄN</t>
        </is>
      </c>
      <c r="G96" t="inlineStr">
        <is>
          <t>MUNKEDAL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46311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Naturvårdsverket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36891-2023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45154</v>
      </c>
      <c r="E98" s="1" t="n">
        <v>46311</v>
      </c>
      <c r="F98" t="inlineStr">
        <is>
          <t>VÄSTRA GÖTALANDS LÄN</t>
        </is>
      </c>
      <c r="G98" t="inlineStr">
        <is>
          <t>MUNKEDAL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45371</v>
      </c>
      <c r="E99" s="1" t="n">
        <v>46311</v>
      </c>
      <c r="F99" t="inlineStr">
        <is>
          <t>VÄSTRA GÖTALANDS LÄN</t>
        </is>
      </c>
      <c r="G99" t="inlineStr">
        <is>
          <t>MUNKEDAL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46311</v>
      </c>
      <c r="F100" t="inlineStr">
        <is>
          <t>VÄSTRA GÖTALANDS LÄN</t>
        </is>
      </c>
      <c r="G100" t="inlineStr">
        <is>
          <t>MUNKEDAL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44873</v>
      </c>
      <c r="E101" s="1" t="n">
        <v>46311</v>
      </c>
      <c r="F101" t="inlineStr">
        <is>
          <t>VÄSTRA GÖTALANDS LÄN</t>
        </is>
      </c>
      <c r="G101" t="inlineStr">
        <is>
          <t>MUNKEDAL</t>
        </is>
      </c>
      <c r="I101" t="n">
        <v>9.300000000000001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46311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64879-2023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46311</v>
      </c>
      <c r="F103" t="inlineStr">
        <is>
          <t>VÄSTRA GÖTALANDS LÄN</t>
        </is>
      </c>
      <c r="G103" t="inlineStr">
        <is>
          <t>MUNKEDAL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46311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Övriga Aktiebolag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45488</v>
      </c>
      <c r="E105" s="1" t="n">
        <v>46311</v>
      </c>
      <c r="F105" t="inlineStr">
        <is>
          <t>VÄSTRA GÖTALANDS LÄN</t>
        </is>
      </c>
      <c r="G105" t="inlineStr">
        <is>
          <t>MUNKEDAL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46311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44984</v>
      </c>
      <c r="E107" s="1" t="n">
        <v>46311</v>
      </c>
      <c r="F107" t="inlineStr">
        <is>
          <t>VÄSTRA GÖTALANDS LÄN</t>
        </is>
      </c>
      <c r="G107" t="inlineStr">
        <is>
          <t>MUNKEDAL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45484</v>
      </c>
      <c r="E108" s="1" t="n">
        <v>46311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8576-2025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45709</v>
      </c>
      <c r="E109" s="1" t="n">
        <v>46311</v>
      </c>
      <c r="F109" t="inlineStr">
        <is>
          <t>VÄSTRA GÖTALANDS LÄN</t>
        </is>
      </c>
      <c r="G109" t="inlineStr">
        <is>
          <t>MUNKEDAL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46311</v>
      </c>
      <c r="F110" t="inlineStr">
        <is>
          <t>VÄSTRA GÖTALANDS LÄN</t>
        </is>
      </c>
      <c r="G110" t="inlineStr">
        <is>
          <t>MUNKEDAL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46311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46311</v>
      </c>
      <c r="F112" t="inlineStr">
        <is>
          <t>VÄSTRA GÖTALANDS LÄN</t>
        </is>
      </c>
      <c r="G112" t="inlineStr">
        <is>
          <t>MUNKEDAL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46311</v>
      </c>
      <c r="F113" t="inlineStr">
        <is>
          <t>VÄSTRA GÖTALANDS LÄN</t>
        </is>
      </c>
      <c r="G113" t="inlineStr">
        <is>
          <t>MUNKEDAL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46311</v>
      </c>
      <c r="F114" t="inlineStr">
        <is>
          <t>VÄSTRA GÖTALANDS LÄN</t>
        </is>
      </c>
      <c r="G114" t="inlineStr">
        <is>
          <t>MUNKEDAL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46311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Kyrkan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46311</v>
      </c>
      <c r="F116" t="inlineStr">
        <is>
          <t>VÄSTRA GÖTALANDS LÄN</t>
        </is>
      </c>
      <c r="G116" t="inlineStr">
        <is>
          <t>MUNKEDAL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46311</v>
      </c>
      <c r="F117" t="inlineStr">
        <is>
          <t>VÄSTRA GÖTALANDS LÄN</t>
        </is>
      </c>
      <c r="G117" t="inlineStr">
        <is>
          <t>MUNKEDAL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46311</v>
      </c>
      <c r="F118" t="inlineStr">
        <is>
          <t>VÄSTRA GÖTALANDS LÄN</t>
        </is>
      </c>
      <c r="G118" t="inlineStr">
        <is>
          <t>MUNKEDAL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46311</v>
      </c>
      <c r="F119" t="inlineStr">
        <is>
          <t>VÄSTRA GÖTALANDS LÄN</t>
        </is>
      </c>
      <c r="G119" t="inlineStr">
        <is>
          <t>MUNKEDAL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45532</v>
      </c>
      <c r="E120" s="1" t="n">
        <v>46311</v>
      </c>
      <c r="F120" t="inlineStr">
        <is>
          <t>VÄSTRA GÖTALANDS LÄN</t>
        </is>
      </c>
      <c r="G120" t="inlineStr">
        <is>
          <t>MUNKEDAL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46311</v>
      </c>
      <c r="F121" t="inlineStr">
        <is>
          <t>VÄSTRA GÖTALANDS LÄN</t>
        </is>
      </c>
      <c r="G121" t="inlineStr">
        <is>
          <t>MUNKEDAL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46311</v>
      </c>
      <c r="F122" t="inlineStr">
        <is>
          <t>VÄSTRA GÖTALANDS LÄN</t>
        </is>
      </c>
      <c r="G122" t="inlineStr">
        <is>
          <t>MUNKEDAL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46311</v>
      </c>
      <c r="F123" t="inlineStr">
        <is>
          <t>VÄSTRA GÖTALANDS LÄN</t>
        </is>
      </c>
      <c r="G123" t="inlineStr">
        <is>
          <t>MUNKEDAL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44897</v>
      </c>
      <c r="E124" s="1" t="n">
        <v>46311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Kyrkan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45127</v>
      </c>
      <c r="E125" s="1" t="n">
        <v>46311</v>
      </c>
      <c r="F125" t="inlineStr">
        <is>
          <t>VÄSTRA GÖTALANDS LÄN</t>
        </is>
      </c>
      <c r="G125" t="inlineStr">
        <is>
          <t>MUNKEDAL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46311</v>
      </c>
      <c r="F126" t="inlineStr">
        <is>
          <t>VÄSTRA GÖTALANDS LÄN</t>
        </is>
      </c>
      <c r="G126" t="inlineStr">
        <is>
          <t>MUNKEDAL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46311</v>
      </c>
      <c r="F127" t="inlineStr">
        <is>
          <t>VÄSTRA GÖTALANDS LÄN</t>
        </is>
      </c>
      <c r="G127" t="inlineStr">
        <is>
          <t>MUNKEDAL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46311</v>
      </c>
      <c r="F128" t="inlineStr">
        <is>
          <t>VÄSTRA GÖTALANDS LÄN</t>
        </is>
      </c>
      <c r="G128" t="inlineStr">
        <is>
          <t>MUNKEDAL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46311</v>
      </c>
      <c r="F129" t="inlineStr">
        <is>
          <t>VÄSTRA GÖTALANDS LÄN</t>
        </is>
      </c>
      <c r="G129" t="inlineStr">
        <is>
          <t>MUNKEDAL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46311</v>
      </c>
      <c r="F130" t="inlineStr">
        <is>
          <t>VÄSTRA GÖTALANDS LÄN</t>
        </is>
      </c>
      <c r="G130" t="inlineStr">
        <is>
          <t>MUNKEDAL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46311</v>
      </c>
      <c r="F131" t="inlineStr">
        <is>
          <t>VÄSTRA GÖTALANDS LÄN</t>
        </is>
      </c>
      <c r="G131" t="inlineStr">
        <is>
          <t>MUNKEDAL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46311</v>
      </c>
      <c r="F132" t="inlineStr">
        <is>
          <t>VÄSTRA GÖTALANDS LÄN</t>
        </is>
      </c>
      <c r="G132" t="inlineStr">
        <is>
          <t>MUNKEDAL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45522</v>
      </c>
      <c r="E133" s="1" t="n">
        <v>46311</v>
      </c>
      <c r="F133" t="inlineStr">
        <is>
          <t>VÄSTRA GÖTALANDS LÄN</t>
        </is>
      </c>
      <c r="G133" t="inlineStr">
        <is>
          <t>MUNKEDAL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46311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Kyrkan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46311</v>
      </c>
      <c r="F135" t="inlineStr">
        <is>
          <t>VÄSTRA GÖTALANDS LÄN</t>
        </is>
      </c>
      <c r="G135" t="inlineStr">
        <is>
          <t>MUNKEDAL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16405-2026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46311</v>
      </c>
      <c r="F136" t="inlineStr">
        <is>
          <t>VÄSTRA GÖTALANDS LÄN</t>
        </is>
      </c>
      <c r="G136" t="inlineStr">
        <is>
          <t>MUNKEDAL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46311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46311</v>
      </c>
      <c r="F138" t="inlineStr">
        <is>
          <t>VÄSTRA GÖTALANDS LÄN</t>
        </is>
      </c>
      <c r="G138" t="inlineStr">
        <is>
          <t>MUNKEDAL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46311</v>
      </c>
      <c r="F139" t="inlineStr">
        <is>
          <t>VÄSTRA GÖTALANDS LÄN</t>
        </is>
      </c>
      <c r="G139" t="inlineStr">
        <is>
          <t>MUNKEDAL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45902</v>
      </c>
      <c r="E140" s="1" t="n">
        <v>46311</v>
      </c>
      <c r="F140" t="inlineStr">
        <is>
          <t>VÄSTRA GÖTALANDS LÄN</t>
        </is>
      </c>
      <c r="G140" t="inlineStr">
        <is>
          <t>MUNKEDAL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46311</v>
      </c>
      <c r="F141" t="inlineStr">
        <is>
          <t>VÄSTRA GÖTALANDS LÄN</t>
        </is>
      </c>
      <c r="G141" t="inlineStr">
        <is>
          <t>MUNKEDAL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46311</v>
      </c>
      <c r="F142" t="inlineStr">
        <is>
          <t>VÄSTRA GÖTALANDS LÄN</t>
        </is>
      </c>
      <c r="G142" t="inlineStr">
        <is>
          <t>MUNKEDAL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58066-2021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46311</v>
      </c>
      <c r="F143" t="inlineStr">
        <is>
          <t>VÄSTRA GÖTALANDS LÄN</t>
        </is>
      </c>
      <c r="G143" t="inlineStr">
        <is>
          <t>MUNKEDAL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45640</v>
      </c>
      <c r="E144" s="1" t="n">
        <v>46311</v>
      </c>
      <c r="F144" t="inlineStr">
        <is>
          <t>VÄSTRA GÖTALANDS LÄN</t>
        </is>
      </c>
      <c r="G144" t="inlineStr">
        <is>
          <t>MUNKEDAL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46311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46311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44755</v>
      </c>
      <c r="E147" s="1" t="n">
        <v>46311</v>
      </c>
      <c r="F147" t="inlineStr">
        <is>
          <t>VÄSTRA GÖTALANDS LÄN</t>
        </is>
      </c>
      <c r="G147" t="inlineStr">
        <is>
          <t>MUNKEDAL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46311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Naturvårdsverket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44672</v>
      </c>
      <c r="E149" s="1" t="n">
        <v>46311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46311</v>
      </c>
      <c r="F150" t="inlineStr">
        <is>
          <t>VÄSTRA GÖTALANDS LÄN</t>
        </is>
      </c>
      <c r="G150" t="inlineStr">
        <is>
          <t>MUNKEDAL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46311</v>
      </c>
      <c r="F151" t="inlineStr">
        <is>
          <t>VÄSTRA GÖTALANDS LÄN</t>
        </is>
      </c>
      <c r="G151" t="inlineStr">
        <is>
          <t>MUNKEDAL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46129</v>
      </c>
      <c r="E152" s="1" t="n">
        <v>46311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46311</v>
      </c>
      <c r="F153" t="inlineStr">
        <is>
          <t>VÄSTRA GÖTALANDS LÄN</t>
        </is>
      </c>
      <c r="G153" t="inlineStr">
        <is>
          <t>MUNKEDAL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45596</v>
      </c>
      <c r="E154" s="1" t="n">
        <v>46311</v>
      </c>
      <c r="F154" t="inlineStr">
        <is>
          <t>VÄSTRA GÖTALANDS LÄN</t>
        </is>
      </c>
      <c r="G154" t="inlineStr">
        <is>
          <t>MUNKEDAL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46131</v>
      </c>
      <c r="E155" s="1" t="n">
        <v>46311</v>
      </c>
      <c r="F155" t="inlineStr">
        <is>
          <t>VÄSTRA GÖTALANDS LÄN</t>
        </is>
      </c>
      <c r="G155" t="inlineStr">
        <is>
          <t>MUNKEDAL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46311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46311</v>
      </c>
      <c r="F157" t="inlineStr">
        <is>
          <t>VÄSTRA GÖTALANDS LÄN</t>
        </is>
      </c>
      <c r="G157" t="inlineStr">
        <is>
          <t>MUNKEDAL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46311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46311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46126</v>
      </c>
      <c r="E160" s="1" t="n">
        <v>46311</v>
      </c>
      <c r="F160" t="inlineStr">
        <is>
          <t>VÄSTRA GÖTALANDS LÄN</t>
        </is>
      </c>
      <c r="G160" t="inlineStr">
        <is>
          <t>MUNKEDAL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46311</v>
      </c>
      <c r="F161" t="inlineStr">
        <is>
          <t>VÄSTRA GÖTALANDS LÄN</t>
        </is>
      </c>
      <c r="G161" t="inlineStr">
        <is>
          <t>MUNKEDAL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45233</v>
      </c>
      <c r="E162" s="1" t="n">
        <v>46311</v>
      </c>
      <c r="F162" t="inlineStr">
        <is>
          <t>VÄSTRA GÖTALANDS LÄN</t>
        </is>
      </c>
      <c r="G162" t="inlineStr">
        <is>
          <t>MUNKEDAL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46311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45325</v>
      </c>
      <c r="E164" s="1" t="n">
        <v>46311</v>
      </c>
      <c r="F164" t="inlineStr">
        <is>
          <t>VÄSTRA GÖTALANDS LÄN</t>
        </is>
      </c>
      <c r="G164" t="inlineStr">
        <is>
          <t>MUNKEDAL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46311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46311</v>
      </c>
      <c r="F166" t="inlineStr">
        <is>
          <t>VÄSTRA GÖTALANDS LÄN</t>
        </is>
      </c>
      <c r="G166" t="inlineStr">
        <is>
          <t>MUNKEDAL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46311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46311</v>
      </c>
      <c r="F168" t="inlineStr">
        <is>
          <t>VÄSTRA GÖTALANDS LÄN</t>
        </is>
      </c>
      <c r="G168" t="inlineStr">
        <is>
          <t>MUNKEDAL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49912-2023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45214</v>
      </c>
      <c r="E169" s="1" t="n">
        <v>46311</v>
      </c>
      <c r="F169" t="inlineStr">
        <is>
          <t>VÄSTRA GÖTALANDS LÄN</t>
        </is>
      </c>
      <c r="G169" t="inlineStr">
        <is>
          <t>MUNKEDAL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46311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Kyrkan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45388</v>
      </c>
      <c r="E171" s="1" t="n">
        <v>46311</v>
      </c>
      <c r="F171" t="inlineStr">
        <is>
          <t>VÄSTRA GÖTALANDS LÄN</t>
        </is>
      </c>
      <c r="G171" t="inlineStr">
        <is>
          <t>MUNKEDAL</t>
        </is>
      </c>
      <c r="I171" t="n">
        <v>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46311</v>
      </c>
      <c r="F172" t="inlineStr">
        <is>
          <t>VÄSTRA GÖTALANDS LÄN</t>
        </is>
      </c>
      <c r="G172" t="inlineStr">
        <is>
          <t>MUNKEDAL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45618</v>
      </c>
      <c r="E173" s="1" t="n">
        <v>46311</v>
      </c>
      <c r="F173" t="inlineStr">
        <is>
          <t>VÄSTRA GÖTALANDS LÄN</t>
        </is>
      </c>
      <c r="G173" t="inlineStr">
        <is>
          <t>MUNKEDAL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46311</v>
      </c>
      <c r="F174" t="inlineStr">
        <is>
          <t>VÄSTRA GÖTALANDS LÄN</t>
        </is>
      </c>
      <c r="G174" t="inlineStr">
        <is>
          <t>MUNKEDAL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42831-2025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46311</v>
      </c>
      <c r="F175" t="inlineStr">
        <is>
          <t>VÄSTRA GÖTALANDS LÄN</t>
        </is>
      </c>
      <c r="G175" t="inlineStr">
        <is>
          <t>MUNKEDAL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46311</v>
      </c>
      <c r="F176" t="inlineStr">
        <is>
          <t>VÄSTRA GÖTALANDS LÄN</t>
        </is>
      </c>
      <c r="G176" t="inlineStr">
        <is>
          <t>MUNKEDAL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46311</v>
      </c>
      <c r="F177" t="inlineStr">
        <is>
          <t>VÄSTRA GÖTALANDS LÄN</t>
        </is>
      </c>
      <c r="G177" t="inlineStr">
        <is>
          <t>MUNKEDAL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45138</v>
      </c>
      <c r="E178" s="1" t="n">
        <v>46311</v>
      </c>
      <c r="F178" t="inlineStr">
        <is>
          <t>VÄSTRA GÖTALANDS LÄN</t>
        </is>
      </c>
      <c r="G178" t="inlineStr">
        <is>
          <t>MUNKEDAL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46311</v>
      </c>
      <c r="F179" t="inlineStr">
        <is>
          <t>VÄSTRA GÖTALANDS LÄN</t>
        </is>
      </c>
      <c r="G179" t="inlineStr">
        <is>
          <t>MUNKEDAL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45640</v>
      </c>
      <c r="E180" s="1" t="n">
        <v>46311</v>
      </c>
      <c r="F180" t="inlineStr">
        <is>
          <t>VÄSTRA GÖTALANDS LÄN</t>
        </is>
      </c>
      <c r="G180" t="inlineStr">
        <is>
          <t>MUNKEDAL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46311</v>
      </c>
      <c r="F181" t="inlineStr">
        <is>
          <t>VÄSTRA GÖTALANDS LÄN</t>
        </is>
      </c>
      <c r="G181" t="inlineStr">
        <is>
          <t>MUNKEDAL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18278-2025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45762</v>
      </c>
      <c r="E182" s="1" t="n">
        <v>46311</v>
      </c>
      <c r="F182" t="inlineStr">
        <is>
          <t>VÄSTRA GÖTALANDS LÄN</t>
        </is>
      </c>
      <c r="G182" t="inlineStr">
        <is>
          <t>MUNKEDAL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46311</v>
      </c>
      <c r="F183" t="inlineStr">
        <is>
          <t>VÄSTRA GÖTALANDS LÄN</t>
        </is>
      </c>
      <c r="G183" t="inlineStr">
        <is>
          <t>MUNKEDAL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45072</v>
      </c>
      <c r="E184" s="1" t="n">
        <v>46311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Kommuner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46311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45540</v>
      </c>
      <c r="E186" s="1" t="n">
        <v>46311</v>
      </c>
      <c r="F186" t="inlineStr">
        <is>
          <t>VÄSTRA GÖTALANDS LÄN</t>
        </is>
      </c>
      <c r="G186" t="inlineStr">
        <is>
          <t>MUNKEDAL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46311</v>
      </c>
      <c r="F187" t="inlineStr">
        <is>
          <t>VÄSTRA GÖTALANDS LÄN</t>
        </is>
      </c>
      <c r="G187" t="inlineStr">
        <is>
          <t>MUNKEDAL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46311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45684</v>
      </c>
      <c r="E189" s="1" t="n">
        <v>46311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Kommuner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46311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Kyrkan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45640</v>
      </c>
      <c r="E191" s="1" t="n">
        <v>46311</v>
      </c>
      <c r="F191" t="inlineStr">
        <is>
          <t>VÄSTRA GÖTALANDS LÄN</t>
        </is>
      </c>
      <c r="G191" t="inlineStr">
        <is>
          <t>MUNKEDAL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45640</v>
      </c>
      <c r="E192" s="1" t="n">
        <v>46311</v>
      </c>
      <c r="F192" t="inlineStr">
        <is>
          <t>VÄSTRA GÖTALANDS LÄN</t>
        </is>
      </c>
      <c r="G192" t="inlineStr">
        <is>
          <t>MUNKEDAL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46311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44608</v>
      </c>
      <c r="E194" s="1" t="n">
        <v>46311</v>
      </c>
      <c r="F194" t="inlineStr">
        <is>
          <t>VÄSTRA GÖTALANDS LÄN</t>
        </is>
      </c>
      <c r="G194" t="inlineStr">
        <is>
          <t>MUNKEDAL</t>
        </is>
      </c>
      <c r="I194" t="n">
        <v>15.4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46311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46311</v>
      </c>
      <c r="F196" t="inlineStr">
        <is>
          <t>VÄSTRA GÖTALANDS LÄN</t>
        </is>
      </c>
      <c r="G196" t="inlineStr">
        <is>
          <t>MUNKEDAL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46141</v>
      </c>
      <c r="E197" s="1" t="n">
        <v>46311</v>
      </c>
      <c r="F197" t="inlineStr">
        <is>
          <t>VÄSTRA GÖTALANDS LÄN</t>
        </is>
      </c>
      <c r="G197" t="inlineStr">
        <is>
          <t>MUNKEDAL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46311</v>
      </c>
      <c r="F198" t="inlineStr">
        <is>
          <t>VÄSTRA GÖTALANDS LÄN</t>
        </is>
      </c>
      <c r="G198" t="inlineStr">
        <is>
          <t>MUNKEDAL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46311</v>
      </c>
      <c r="F199" t="inlineStr">
        <is>
          <t>VÄSTRA GÖTALANDS LÄN</t>
        </is>
      </c>
      <c r="G199" t="inlineStr">
        <is>
          <t>MUNKEDAL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46311</v>
      </c>
      <c r="F200" t="inlineStr">
        <is>
          <t>VÄSTRA GÖTALANDS LÄN</t>
        </is>
      </c>
      <c r="G200" t="inlineStr">
        <is>
          <t>MUNKEDAL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45796</v>
      </c>
      <c r="E201" s="1" t="n">
        <v>46311</v>
      </c>
      <c r="F201" t="inlineStr">
        <is>
          <t>VÄSTRA GÖTALANDS LÄN</t>
        </is>
      </c>
      <c r="G201" t="inlineStr">
        <is>
          <t>MUNKEDAL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46311</v>
      </c>
      <c r="F202" t="inlineStr">
        <is>
          <t>VÄSTRA GÖTALANDS LÄN</t>
        </is>
      </c>
      <c r="G202" t="inlineStr">
        <is>
          <t>MUNKEDAL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46311</v>
      </c>
      <c r="F203" t="inlineStr">
        <is>
          <t>VÄSTRA GÖTALANDS LÄN</t>
        </is>
      </c>
      <c r="G203" t="inlineStr">
        <is>
          <t>MUNKEDAL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45072</v>
      </c>
      <c r="E204" s="1" t="n">
        <v>46311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Kommuner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46311</v>
      </c>
      <c r="F205" t="inlineStr">
        <is>
          <t>VÄSTRA GÖTALANDS LÄN</t>
        </is>
      </c>
      <c r="G205" t="inlineStr">
        <is>
          <t>MUNKEDAL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44760</v>
      </c>
      <c r="E206" s="1" t="n">
        <v>46311</v>
      </c>
      <c r="F206" t="inlineStr">
        <is>
          <t>VÄSTRA GÖTALANDS LÄN</t>
        </is>
      </c>
      <c r="G206" t="inlineStr">
        <is>
          <t>MUNKEDAL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46311</v>
      </c>
      <c r="F207" t="inlineStr">
        <is>
          <t>VÄSTRA GÖTALANDS LÄN</t>
        </is>
      </c>
      <c r="G207" t="inlineStr">
        <is>
          <t>MUNKEDAL</t>
        </is>
      </c>
      <c r="I207" t="n">
        <v>7.8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46311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13303-2023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45005</v>
      </c>
      <c r="E209" s="1" t="n">
        <v>46311</v>
      </c>
      <c r="F209" t="inlineStr">
        <is>
          <t>VÄSTRA GÖTALANDS LÄN</t>
        </is>
      </c>
      <c r="G209" t="inlineStr">
        <is>
          <t>MUNKEDAL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46311</v>
      </c>
      <c r="F210" t="inlineStr">
        <is>
          <t>VÄSTRA GÖTALANDS LÄN</t>
        </is>
      </c>
      <c r="G210" t="inlineStr">
        <is>
          <t>MUNKEDAL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29956-2024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45488</v>
      </c>
      <c r="E211" s="1" t="n">
        <v>46311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46311</v>
      </c>
      <c r="F212" t="inlineStr">
        <is>
          <t>VÄSTRA GÖTALANDS LÄN</t>
        </is>
      </c>
      <c r="G212" t="inlineStr">
        <is>
          <t>MUNKEDAL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46311</v>
      </c>
      <c r="F213" t="inlineStr">
        <is>
          <t>VÄSTRA GÖTALANDS LÄN</t>
        </is>
      </c>
      <c r="G213" t="inlineStr">
        <is>
          <t>MUNKEDAL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46311</v>
      </c>
      <c r="F214" t="inlineStr">
        <is>
          <t>VÄSTRA GÖTALANDS LÄN</t>
        </is>
      </c>
      <c r="G214" t="inlineStr">
        <is>
          <t>MUNKEDAL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46311</v>
      </c>
      <c r="F215" t="inlineStr">
        <is>
          <t>VÄSTRA GÖTALANDS LÄN</t>
        </is>
      </c>
      <c r="G215" t="inlineStr">
        <is>
          <t>MUNKEDAL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44715</v>
      </c>
      <c r="E216" s="1" t="n">
        <v>46311</v>
      </c>
      <c r="F216" t="inlineStr">
        <is>
          <t>VÄSTRA GÖTALANDS LÄN</t>
        </is>
      </c>
      <c r="G216" t="inlineStr">
        <is>
          <t>MUNKEDAL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45293</v>
      </c>
      <c r="E217" s="1" t="n">
        <v>46311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45160</v>
      </c>
      <c r="E218" s="1" t="n">
        <v>46311</v>
      </c>
      <c r="F218" t="inlineStr">
        <is>
          <t>VÄSTRA GÖTALANDS LÄN</t>
        </is>
      </c>
      <c r="G218" t="inlineStr">
        <is>
          <t>MUNKEDAL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44806</v>
      </c>
      <c r="E219" s="1" t="n">
        <v>46311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25.2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46311</v>
      </c>
      <c r="F220" t="inlineStr">
        <is>
          <t>VÄSTRA GÖTALANDS LÄN</t>
        </is>
      </c>
      <c r="G220" t="inlineStr">
        <is>
          <t>MUNKEDAL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46311</v>
      </c>
      <c r="F221" t="inlineStr">
        <is>
          <t>VÄSTRA GÖTALANDS LÄN</t>
        </is>
      </c>
      <c r="G221" t="inlineStr">
        <is>
          <t>MUNKEDAL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46311</v>
      </c>
      <c r="F222" t="inlineStr">
        <is>
          <t>VÄSTRA GÖTALANDS LÄN</t>
        </is>
      </c>
      <c r="G222" t="inlineStr">
        <is>
          <t>MUNKEDAL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44704</v>
      </c>
      <c r="E223" s="1" t="n">
        <v>46311</v>
      </c>
      <c r="F223" t="inlineStr">
        <is>
          <t>VÄSTRA GÖTALANDS LÄN</t>
        </is>
      </c>
      <c r="G223" t="inlineStr">
        <is>
          <t>MUNKEDAL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45293</v>
      </c>
      <c r="E224" s="1" t="n">
        <v>46311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45296</v>
      </c>
      <c r="E225" s="1" t="n">
        <v>46311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45916</v>
      </c>
      <c r="E226" s="1" t="n">
        <v>46311</v>
      </c>
      <c r="F226" t="inlineStr">
        <is>
          <t>VÄSTRA GÖTALANDS LÄN</t>
        </is>
      </c>
      <c r="G226" t="inlineStr">
        <is>
          <t>MUNKEDAL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46311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46311</v>
      </c>
      <c r="F228" t="inlineStr">
        <is>
          <t>VÄSTRA GÖTALANDS LÄN</t>
        </is>
      </c>
      <c r="G228" t="inlineStr">
        <is>
          <t>MUNKEDAL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46311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46311</v>
      </c>
      <c r="F230" t="inlineStr">
        <is>
          <t>VÄSTRA GÖTALANDS LÄN</t>
        </is>
      </c>
      <c r="G230" t="inlineStr">
        <is>
          <t>MUNKEDAL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45921</v>
      </c>
      <c r="E231" s="1" t="n">
        <v>46311</v>
      </c>
      <c r="F231" t="inlineStr">
        <is>
          <t>VÄSTRA GÖTALANDS LÄN</t>
        </is>
      </c>
      <c r="G231" t="inlineStr">
        <is>
          <t>MUNKEDAL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46160</v>
      </c>
      <c r="E232" s="1" t="n">
        <v>46311</v>
      </c>
      <c r="F232" t="inlineStr">
        <is>
          <t>VÄSTRA GÖTALANDS LÄN</t>
        </is>
      </c>
      <c r="G232" t="inlineStr">
        <is>
          <t>MUNKEDAL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45982</v>
      </c>
      <c r="E233" s="1" t="n">
        <v>46311</v>
      </c>
      <c r="F233" t="inlineStr">
        <is>
          <t>VÄSTRA GÖTALANDS LÄN</t>
        </is>
      </c>
      <c r="G233" t="inlineStr">
        <is>
          <t>MUNKEDAL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46311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statliga verk och myndigheter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44866</v>
      </c>
      <c r="E235" s="1" t="n">
        <v>46311</v>
      </c>
      <c r="F235" t="inlineStr">
        <is>
          <t>VÄSTRA GÖTALANDS LÄN</t>
        </is>
      </c>
      <c r="G235" t="inlineStr">
        <is>
          <t>MUNKEDAL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45470</v>
      </c>
      <c r="E236" s="1" t="n">
        <v>46311</v>
      </c>
      <c r="F236" t="inlineStr">
        <is>
          <t>VÄSTRA GÖTALANDS LÄN</t>
        </is>
      </c>
      <c r="G236" t="inlineStr">
        <is>
          <t>MUNKEDAL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45619</v>
      </c>
      <c r="E237" s="1" t="n">
        <v>46311</v>
      </c>
      <c r="F237" t="inlineStr">
        <is>
          <t>VÄSTRA GÖTALANDS LÄN</t>
        </is>
      </c>
      <c r="G237" t="inlineStr">
        <is>
          <t>MUNKEDAL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46311</v>
      </c>
      <c r="F238" t="inlineStr">
        <is>
          <t>VÄSTRA GÖTALANDS LÄN</t>
        </is>
      </c>
      <c r="G238" t="inlineStr">
        <is>
          <t>MUNKEDAL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46311</v>
      </c>
      <c r="F239" t="inlineStr">
        <is>
          <t>VÄSTRA GÖTALANDS LÄN</t>
        </is>
      </c>
      <c r="G239" t="inlineStr">
        <is>
          <t>MUNKEDAL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46311</v>
      </c>
      <c r="F240" t="inlineStr">
        <is>
          <t>VÄSTRA GÖTALANDS LÄN</t>
        </is>
      </c>
      <c r="G240" t="inlineStr">
        <is>
          <t>MUNKEDAL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45188</v>
      </c>
      <c r="E241" s="1" t="n">
        <v>46311</v>
      </c>
      <c r="F241" t="inlineStr">
        <is>
          <t>VÄSTRA GÖTALANDS LÄN</t>
        </is>
      </c>
      <c r="G241" t="inlineStr">
        <is>
          <t>MUNKEDAL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45175</v>
      </c>
      <c r="E242" s="1" t="n">
        <v>46311</v>
      </c>
      <c r="F242" t="inlineStr">
        <is>
          <t>VÄSTRA GÖTALANDS LÄN</t>
        </is>
      </c>
      <c r="G242" t="inlineStr">
        <is>
          <t>MUNKEDAL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45174</v>
      </c>
      <c r="E243" s="1" t="n">
        <v>46311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46311</v>
      </c>
      <c r="F244" t="inlineStr">
        <is>
          <t>VÄSTRA GÖTALANDS LÄN</t>
        </is>
      </c>
      <c r="G244" t="inlineStr">
        <is>
          <t>MUNKEDAL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46311</v>
      </c>
      <c r="F245" t="inlineStr">
        <is>
          <t>VÄSTRA GÖTALANDS LÄN</t>
        </is>
      </c>
      <c r="G245" t="inlineStr">
        <is>
          <t>MUNKEDAL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46311</v>
      </c>
      <c r="F246" t="inlineStr">
        <is>
          <t>VÄSTRA GÖTALANDS LÄN</t>
        </is>
      </c>
      <c r="G246" t="inlineStr">
        <is>
          <t>MUNKEDAL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46311</v>
      </c>
      <c r="F247" t="inlineStr">
        <is>
          <t>VÄSTRA GÖTALANDS LÄN</t>
        </is>
      </c>
      <c r="G247" t="inlineStr">
        <is>
          <t>MUNKEDAL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45322</v>
      </c>
      <c r="E248" s="1" t="n">
        <v>46311</v>
      </c>
      <c r="F248" t="inlineStr">
        <is>
          <t>VÄSTRA GÖTALANDS LÄN</t>
        </is>
      </c>
      <c r="G248" t="inlineStr">
        <is>
          <t>MUNKEDAL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56766-2023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46311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46311</v>
      </c>
      <c r="F250" t="inlineStr">
        <is>
          <t>VÄSTRA GÖTALANDS LÄN</t>
        </is>
      </c>
      <c r="G250" t="inlineStr">
        <is>
          <t>MUNKEDAL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46311</v>
      </c>
      <c r="F251" t="inlineStr">
        <is>
          <t>VÄSTRA GÖTALANDS LÄN</t>
        </is>
      </c>
      <c r="G251" t="inlineStr">
        <is>
          <t>MUNKEDAL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45400</v>
      </c>
      <c r="E252" s="1" t="n">
        <v>46311</v>
      </c>
      <c r="F252" t="inlineStr">
        <is>
          <t>VÄSTRA GÖTALANDS LÄN</t>
        </is>
      </c>
      <c r="G252" t="inlineStr">
        <is>
          <t>MUNKEDAL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46311</v>
      </c>
      <c r="F253" t="inlineStr">
        <is>
          <t>VÄSTRA GÖTALANDS LÄN</t>
        </is>
      </c>
      <c r="G253" t="inlineStr">
        <is>
          <t>MUNKEDAL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45229</v>
      </c>
      <c r="E254" s="1" t="n">
        <v>46311</v>
      </c>
      <c r="F254" t="inlineStr">
        <is>
          <t>VÄSTRA GÖTALANDS LÄN</t>
        </is>
      </c>
      <c r="G254" t="inlineStr">
        <is>
          <t>MUNKEDAL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46311</v>
      </c>
      <c r="F255" t="inlineStr">
        <is>
          <t>VÄSTRA GÖTALANDS LÄN</t>
        </is>
      </c>
      <c r="G255" t="inlineStr">
        <is>
          <t>MUNKEDAL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46311</v>
      </c>
      <c r="F256" t="inlineStr">
        <is>
          <t>VÄSTRA GÖTALANDS LÄN</t>
        </is>
      </c>
      <c r="G256" t="inlineStr">
        <is>
          <t>MUNKEDAL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46311</v>
      </c>
      <c r="F257" t="inlineStr">
        <is>
          <t>VÄSTRA GÖTALANDS LÄN</t>
        </is>
      </c>
      <c r="G257" t="inlineStr">
        <is>
          <t>MUNKEDAL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38164-2022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44812</v>
      </c>
      <c r="E258" s="1" t="n">
        <v>46311</v>
      </c>
      <c r="F258" t="inlineStr">
        <is>
          <t>VÄSTRA GÖTALANDS LÄN</t>
        </is>
      </c>
      <c r="G258" t="inlineStr">
        <is>
          <t>MUNKEDAL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45489</v>
      </c>
      <c r="E259" s="1" t="n">
        <v>46311</v>
      </c>
      <c r="F259" t="inlineStr">
        <is>
          <t>VÄSTRA GÖTALANDS LÄN</t>
        </is>
      </c>
      <c r="G259" t="inlineStr">
        <is>
          <t>MUNKEDAL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46311</v>
      </c>
      <c r="F260" t="inlineStr">
        <is>
          <t>VÄSTRA GÖTALANDS LÄN</t>
        </is>
      </c>
      <c r="G260" t="inlineStr">
        <is>
          <t>MUNKEDAL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46311</v>
      </c>
      <c r="F261" t="inlineStr">
        <is>
          <t>VÄSTRA GÖTALANDS LÄN</t>
        </is>
      </c>
      <c r="G261" t="inlineStr">
        <is>
          <t>MUNKEDAL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46311</v>
      </c>
      <c r="F262" t="inlineStr">
        <is>
          <t>VÄSTRA GÖTALANDS LÄN</t>
        </is>
      </c>
      <c r="G262" t="inlineStr">
        <is>
          <t>MUNKEDAL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45630</v>
      </c>
      <c r="E263" s="1" t="n">
        <v>46311</v>
      </c>
      <c r="F263" t="inlineStr">
        <is>
          <t>VÄSTRA GÖTALANDS LÄN</t>
        </is>
      </c>
      <c r="G263" t="inlineStr">
        <is>
          <t>MUNKEDAL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46311</v>
      </c>
      <c r="F264" t="inlineStr">
        <is>
          <t>VÄSTRA GÖTALANDS LÄN</t>
        </is>
      </c>
      <c r="G264" t="inlineStr">
        <is>
          <t>MUNKEDAL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16621-2022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44672</v>
      </c>
      <c r="E265" s="1" t="n">
        <v>46311</v>
      </c>
      <c r="F265" t="inlineStr">
        <is>
          <t>VÄSTRA GÖTALANDS LÄN</t>
        </is>
      </c>
      <c r="G265" t="inlineStr">
        <is>
          <t>MUNKEDAL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59132-2022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46311</v>
      </c>
      <c r="F266" t="inlineStr">
        <is>
          <t>VÄSTRA GÖTALANDS LÄN</t>
        </is>
      </c>
      <c r="G266" t="inlineStr">
        <is>
          <t>MUNKEDAL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46311</v>
      </c>
      <c r="F267" t="inlineStr">
        <is>
          <t>VÄSTRA GÖTALANDS LÄN</t>
        </is>
      </c>
      <c r="G267" t="inlineStr">
        <is>
          <t>MUNKEDAL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45229</v>
      </c>
      <c r="E268" s="1" t="n">
        <v>46311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45266</v>
      </c>
      <c r="E269" s="1" t="n">
        <v>46311</v>
      </c>
      <c r="F269" t="inlineStr">
        <is>
          <t>VÄSTRA GÖTALANDS LÄN</t>
        </is>
      </c>
      <c r="G269" t="inlineStr">
        <is>
          <t>MUNKEDAL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46311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24150-2023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46311</v>
      </c>
      <c r="F271" t="inlineStr">
        <is>
          <t>VÄSTRA GÖTALANDS LÄN</t>
        </is>
      </c>
      <c r="G271" t="inlineStr">
        <is>
          <t>MUNKEDAL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45546</v>
      </c>
      <c r="E272" s="1" t="n">
        <v>46311</v>
      </c>
      <c r="F272" t="inlineStr">
        <is>
          <t>VÄSTRA GÖTALANDS LÄN</t>
        </is>
      </c>
      <c r="G272" t="inlineStr">
        <is>
          <t>MUNKEDAL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46311</v>
      </c>
      <c r="F273" t="inlineStr">
        <is>
          <t>VÄSTRA GÖTALANDS LÄN</t>
        </is>
      </c>
      <c r="G273" t="inlineStr">
        <is>
          <t>MUNKEDAL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49218-2022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44861</v>
      </c>
      <c r="E274" s="1" t="n">
        <v>46311</v>
      </c>
      <c r="F274" t="inlineStr">
        <is>
          <t>VÄSTRA GÖTALANDS LÄN</t>
        </is>
      </c>
      <c r="G274" t="inlineStr">
        <is>
          <t>MUNKEDAL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44937</v>
      </c>
      <c r="E275" s="1" t="n">
        <v>46311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46311</v>
      </c>
      <c r="F276" t="inlineStr">
        <is>
          <t>VÄSTRA GÖTALANDS LÄN</t>
        </is>
      </c>
      <c r="G276" t="inlineStr">
        <is>
          <t>MUNKEDAL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46311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44580</v>
      </c>
      <c r="E278" s="1" t="n">
        <v>46311</v>
      </c>
      <c r="F278" t="inlineStr">
        <is>
          <t>VÄSTRA GÖTALANDS LÄN</t>
        </is>
      </c>
      <c r="G278" t="inlineStr">
        <is>
          <t>MUNKEDAL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46311</v>
      </c>
      <c r="F279" t="inlineStr">
        <is>
          <t>VÄSTRA GÖTALANDS LÄN</t>
        </is>
      </c>
      <c r="G279" t="inlineStr">
        <is>
          <t>MUNKEDAL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46311</v>
      </c>
      <c r="F280" t="inlineStr">
        <is>
          <t>VÄSTRA GÖTALANDS LÄN</t>
        </is>
      </c>
      <c r="G280" t="inlineStr">
        <is>
          <t>MUNKEDAL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45049</v>
      </c>
      <c r="E281" s="1" t="n">
        <v>46311</v>
      </c>
      <c r="F281" t="inlineStr">
        <is>
          <t>VÄSTRA GÖTALANDS LÄN</t>
        </is>
      </c>
      <c r="G281" t="inlineStr">
        <is>
          <t>MUNKEDAL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45070</v>
      </c>
      <c r="E282" s="1" t="n">
        <v>46311</v>
      </c>
      <c r="F282" t="inlineStr">
        <is>
          <t>VÄSTRA GÖTALANDS LÄN</t>
        </is>
      </c>
      <c r="G282" t="inlineStr">
        <is>
          <t>MUNKEDAL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46311</v>
      </c>
      <c r="F283" t="inlineStr">
        <is>
          <t>VÄSTRA GÖTALANDS LÄN</t>
        </is>
      </c>
      <c r="G283" t="inlineStr">
        <is>
          <t>MUNKEDAL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45076</v>
      </c>
      <c r="E284" s="1" t="n">
        <v>46311</v>
      </c>
      <c r="F284" t="inlineStr">
        <is>
          <t>VÄSTRA GÖTALANDS LÄN</t>
        </is>
      </c>
      <c r="G284" t="inlineStr">
        <is>
          <t>MUNKEDAL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46202</v>
      </c>
      <c r="E285" s="1" t="n">
        <v>46311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54933-2024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45618</v>
      </c>
      <c r="E286" s="1" t="n">
        <v>46311</v>
      </c>
      <c r="F286" t="inlineStr">
        <is>
          <t>VÄSTRA GÖTALANDS LÄN</t>
        </is>
      </c>
      <c r="G286" t="inlineStr">
        <is>
          <t>MUNKEDAL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46311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Naturvårdsverket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45111</v>
      </c>
      <c r="E288" s="1" t="n">
        <v>46311</v>
      </c>
      <c r="F288" t="inlineStr">
        <is>
          <t>VÄSTRA GÖTALANDS LÄN</t>
        </is>
      </c>
      <c r="G288" t="inlineStr">
        <is>
          <t>MUNKEDAL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45268</v>
      </c>
      <c r="E289" s="1" t="n">
        <v>46311</v>
      </c>
      <c r="F289" t="inlineStr">
        <is>
          <t>VÄSTRA GÖTALANDS LÄN</t>
        </is>
      </c>
      <c r="G289" t="inlineStr">
        <is>
          <t>MUNKEDAL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46203</v>
      </c>
      <c r="E290" s="1" t="n">
        <v>46311</v>
      </c>
      <c r="F290" t="inlineStr">
        <is>
          <t>VÄSTRA GÖTALANDS LÄN</t>
        </is>
      </c>
      <c r="G290" t="inlineStr">
        <is>
          <t>MUNKEDAL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46311</v>
      </c>
      <c r="F291" t="inlineStr">
        <is>
          <t>VÄSTRA GÖTALANDS LÄN</t>
        </is>
      </c>
      <c r="G291" t="inlineStr">
        <is>
          <t>MUNKEDAL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46311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46209</v>
      </c>
      <c r="E293" s="1" t="n">
        <v>46311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46311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16.7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46209</v>
      </c>
      <c r="E295" s="1" t="n">
        <v>46311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46311</v>
      </c>
      <c r="F296" t="inlineStr">
        <is>
          <t>VÄSTRA GÖTALANDS LÄN</t>
        </is>
      </c>
      <c r="G296" t="inlineStr">
        <is>
          <t>MUNKEDAL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46311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28393-2022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44747</v>
      </c>
      <c r="E298" s="1" t="n">
        <v>46311</v>
      </c>
      <c r="F298" t="inlineStr">
        <is>
          <t>VÄSTRA GÖTALANDS LÄN</t>
        </is>
      </c>
      <c r="G298" t="inlineStr">
        <is>
          <t>MUNKEDAL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29959-2024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45488</v>
      </c>
      <c r="E299" s="1" t="n">
        <v>46311</v>
      </c>
      <c r="F299" t="inlineStr">
        <is>
          <t>VÄSTRA GÖTALANDS LÄN</t>
        </is>
      </c>
      <c r="G299" t="inlineStr">
        <is>
          <t>MUNKEDAL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46311</v>
      </c>
      <c r="F300" t="inlineStr">
        <is>
          <t>VÄSTRA GÖTALANDS LÄN</t>
        </is>
      </c>
      <c r="G300" t="inlineStr">
        <is>
          <t>MUNKEDAL</t>
        </is>
      </c>
      <c r="I300" t="n">
        <v>20.2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45317</v>
      </c>
      <c r="E301" s="1" t="n">
        <v>46311</v>
      </c>
      <c r="F301" t="inlineStr">
        <is>
          <t>VÄSTRA GÖTALANDS LÄN</t>
        </is>
      </c>
      <c r="G301" t="inlineStr">
        <is>
          <t>MUNKEDAL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46311</v>
      </c>
      <c r="F302" t="inlineStr">
        <is>
          <t>VÄSTRA GÖTALANDS LÄN</t>
        </is>
      </c>
      <c r="G302" t="inlineStr">
        <is>
          <t>MUNKEDAL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46217</v>
      </c>
      <c r="E303" s="1" t="n">
        <v>46311</v>
      </c>
      <c r="F303" t="inlineStr">
        <is>
          <t>VÄSTRA GÖTALANDS LÄN</t>
        </is>
      </c>
      <c r="G303" t="inlineStr">
        <is>
          <t>MUNKEDAL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45356</v>
      </c>
      <c r="E304" s="1" t="n">
        <v>46311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46217</v>
      </c>
      <c r="E305" s="1" t="n">
        <v>46311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45488</v>
      </c>
      <c r="E306" s="1" t="n">
        <v>46311</v>
      </c>
      <c r="F306" t="inlineStr">
        <is>
          <t>VÄSTRA GÖTALANDS LÄN</t>
        </is>
      </c>
      <c r="G306" t="inlineStr">
        <is>
          <t>MUNKEDAL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37389-2024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45540</v>
      </c>
      <c r="E307" s="1" t="n">
        <v>46311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46311</v>
      </c>
      <c r="F308" t="inlineStr">
        <is>
          <t>VÄSTRA GÖTALANDS LÄN</t>
        </is>
      </c>
      <c r="G308" t="inlineStr">
        <is>
          <t>MUNKEDAL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36671-2026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46272</v>
      </c>
      <c r="E309" s="1" t="n">
        <v>46311</v>
      </c>
      <c r="F309" t="inlineStr">
        <is>
          <t>VÄSTRA GÖTALANDS LÄN</t>
        </is>
      </c>
      <c r="G309" t="inlineStr">
        <is>
          <t>MUNKEDAL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45120</v>
      </c>
      <c r="E310" s="1" t="n">
        <v>46311</v>
      </c>
      <c r="F310" t="inlineStr">
        <is>
          <t>VÄSTRA GÖTALANDS LÄN</t>
        </is>
      </c>
      <c r="G310" t="inlineStr">
        <is>
          <t>MUNKEDAL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46311</v>
      </c>
      <c r="F311" t="inlineStr">
        <is>
          <t>VÄSTRA GÖTALANDS LÄN</t>
        </is>
      </c>
      <c r="G311" t="inlineStr">
        <is>
          <t>MUNKEDAL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46311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45667</v>
      </c>
      <c r="E313" s="1" t="n">
        <v>46311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46273</v>
      </c>
      <c r="E314" s="1" t="n">
        <v>46311</v>
      </c>
      <c r="F314" t="inlineStr">
        <is>
          <t>VÄSTRA GÖTALANDS LÄN</t>
        </is>
      </c>
      <c r="G314" t="inlineStr">
        <is>
          <t>MUNKEDAL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46311</v>
      </c>
      <c r="F315" t="inlineStr">
        <is>
          <t>VÄSTRA GÖTALANDS LÄN</t>
        </is>
      </c>
      <c r="G315" t="inlineStr">
        <is>
          <t>MUNKEDAL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46311</v>
      </c>
      <c r="F316" t="inlineStr">
        <is>
          <t>VÄSTRA GÖTALANDS LÄN</t>
        </is>
      </c>
      <c r="G316" t="inlineStr">
        <is>
          <t>MUNKEDAL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46311</v>
      </c>
      <c r="F317" t="inlineStr">
        <is>
          <t>VÄSTRA GÖTALANDS LÄN</t>
        </is>
      </c>
      <c r="G317" t="inlineStr">
        <is>
          <t>MUNKEDAL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11425-2022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44630</v>
      </c>
      <c r="E318" s="1" t="n">
        <v>46311</v>
      </c>
      <c r="F318" t="inlineStr">
        <is>
          <t>VÄSTRA GÖTALANDS LÄN</t>
        </is>
      </c>
      <c r="G318" t="inlineStr">
        <is>
          <t>MUNKEDAL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46239</v>
      </c>
      <c r="E319" s="1" t="n">
        <v>46311</v>
      </c>
      <c r="F319" t="inlineStr">
        <is>
          <t>VÄSTRA GÖTALANDS LÄN</t>
        </is>
      </c>
      <c r="G319" t="inlineStr">
        <is>
          <t>MUNKEDAL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55183-2024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45620</v>
      </c>
      <c r="E320" s="1" t="n">
        <v>46311</v>
      </c>
      <c r="F320" t="inlineStr">
        <is>
          <t>VÄSTRA GÖTALANDS LÄN</t>
        </is>
      </c>
      <c r="G320" t="inlineStr">
        <is>
          <t>MUNKEDAL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46286</v>
      </c>
      <c r="E321" s="1" t="n">
        <v>46311</v>
      </c>
      <c r="F321" t="inlineStr">
        <is>
          <t>VÄSTRA GÖTALANDS LÄN</t>
        </is>
      </c>
      <c r="G321" t="inlineStr">
        <is>
          <t>MUNKEDAL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45674</v>
      </c>
      <c r="E322" s="1" t="n">
        <v>46311</v>
      </c>
      <c r="F322" t="inlineStr">
        <is>
          <t>VÄSTRA GÖTALANDS LÄN</t>
        </is>
      </c>
      <c r="G322" t="inlineStr">
        <is>
          <t>MUNKEDAL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46311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46286</v>
      </c>
      <c r="E324" s="1" t="n">
        <v>46311</v>
      </c>
      <c r="F324" t="inlineStr">
        <is>
          <t>VÄSTRA GÖTALANDS LÄN</t>
        </is>
      </c>
      <c r="G324" t="inlineStr">
        <is>
          <t>MUNKEDAL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62098-2022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44920</v>
      </c>
      <c r="E325" s="1" t="n">
        <v>46311</v>
      </c>
      <c r="F325" t="inlineStr">
        <is>
          <t>VÄSTRA GÖTALANDS LÄN</t>
        </is>
      </c>
      <c r="G325" t="inlineStr">
        <is>
          <t>MUNKEDAL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44920</v>
      </c>
      <c r="E326" s="1" t="n">
        <v>46311</v>
      </c>
      <c r="F326" t="inlineStr">
        <is>
          <t>VÄSTRA GÖTALANDS LÄN</t>
        </is>
      </c>
      <c r="G326" t="inlineStr">
        <is>
          <t>MUNKEDAL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46276</v>
      </c>
      <c r="E327" s="1" t="n">
        <v>46311</v>
      </c>
      <c r="F327" t="inlineStr">
        <is>
          <t>VÄSTRA GÖTALANDS LÄN</t>
        </is>
      </c>
      <c r="G327" t="inlineStr">
        <is>
          <t>MUNKEDAL</t>
        </is>
      </c>
      <c r="I327" t="n">
        <v>11.8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46311</v>
      </c>
      <c r="F328" t="inlineStr">
        <is>
          <t>VÄSTRA GÖTALANDS LÄN</t>
        </is>
      </c>
      <c r="G328" t="inlineStr">
        <is>
          <t>MUNKEDAL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57739-2025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46311</v>
      </c>
      <c r="F329" t="inlineStr">
        <is>
          <t>VÄSTRA GÖTALANDS LÄN</t>
        </is>
      </c>
      <c r="G329" t="inlineStr">
        <is>
          <t>MUNKEDAL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45306</v>
      </c>
      <c r="E330" s="1" t="n">
        <v>46311</v>
      </c>
      <c r="F330" t="inlineStr">
        <is>
          <t>VÄSTRA GÖTALANDS LÄN</t>
        </is>
      </c>
      <c r="G330" t="inlineStr">
        <is>
          <t>MUNKEDAL</t>
        </is>
      </c>
      <c r="I330" t="n">
        <v>25.2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45684</v>
      </c>
      <c r="E331" s="1" t="n">
        <v>46311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Kommuner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46244</v>
      </c>
      <c r="E332" s="1" t="n">
        <v>46311</v>
      </c>
      <c r="F332" t="inlineStr">
        <is>
          <t>VÄSTRA GÖTALANDS LÄN</t>
        </is>
      </c>
      <c r="G332" t="inlineStr">
        <is>
          <t>MUNKEDAL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46311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46247</v>
      </c>
      <c r="E334" s="1" t="n">
        <v>46311</v>
      </c>
      <c r="F334" t="inlineStr">
        <is>
          <t>VÄSTRA GÖTALANDS LÄN</t>
        </is>
      </c>
      <c r="G334" t="inlineStr">
        <is>
          <t>MUNKEDAL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58515-2025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45985</v>
      </c>
      <c r="E335" s="1" t="n">
        <v>46311</v>
      </c>
      <c r="F335" t="inlineStr">
        <is>
          <t>VÄSTRA GÖTALANDS LÄN</t>
        </is>
      </c>
      <c r="G335" t="inlineStr">
        <is>
          <t>MUNKEDAL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46247</v>
      </c>
      <c r="E336" s="1" t="n">
        <v>46311</v>
      </c>
      <c r="F336" t="inlineStr">
        <is>
          <t>VÄSTRA GÖTALANDS LÄN</t>
        </is>
      </c>
      <c r="G336" t="inlineStr">
        <is>
          <t>MUNKEDAL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46311</v>
      </c>
      <c r="F337" t="inlineStr">
        <is>
          <t>VÄSTRA GÖTALANDS LÄN</t>
        </is>
      </c>
      <c r="G337" t="inlineStr">
        <is>
          <t>MUNKEDAL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46311</v>
      </c>
      <c r="F338" t="inlineStr">
        <is>
          <t>VÄSTRA GÖTALANDS LÄN</t>
        </is>
      </c>
      <c r="G338" t="inlineStr">
        <is>
          <t>MUNKEDAL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46311</v>
      </c>
      <c r="F339" t="inlineStr">
        <is>
          <t>VÄSTRA GÖTALANDS LÄN</t>
        </is>
      </c>
      <c r="G339" t="inlineStr">
        <is>
          <t>MUNKEDAL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45667</v>
      </c>
      <c r="E340" s="1" t="n">
        <v>46311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12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44698</v>
      </c>
      <c r="E341" s="1" t="n">
        <v>46311</v>
      </c>
      <c r="F341" t="inlineStr">
        <is>
          <t>VÄSTRA GÖTALANDS LÄN</t>
        </is>
      </c>
      <c r="G341" t="inlineStr">
        <is>
          <t>MUNKEDAL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55438-2025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46311</v>
      </c>
      <c r="F342" t="inlineStr">
        <is>
          <t>VÄSTRA GÖTALANDS LÄN</t>
        </is>
      </c>
      <c r="G342" t="inlineStr">
        <is>
          <t>MUNKEDAL</t>
        </is>
      </c>
      <c r="I342" t="n">
        <v>16.3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58711-2025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46311</v>
      </c>
      <c r="F343" t="inlineStr">
        <is>
          <t>VÄSTRA GÖTALANDS LÄN</t>
        </is>
      </c>
      <c r="G343" t="inlineStr">
        <is>
          <t>MUNKEDAL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46311</v>
      </c>
      <c r="F344" t="inlineStr">
        <is>
          <t>VÄSTRA GÖTALANDS LÄN</t>
        </is>
      </c>
      <c r="G344" t="inlineStr">
        <is>
          <t>MUNKEDAL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45614</v>
      </c>
      <c r="E345" s="1" t="n">
        <v>46311</v>
      </c>
      <c r="F345" t="inlineStr">
        <is>
          <t>VÄSTRA GÖTALANDS LÄN</t>
        </is>
      </c>
      <c r="G345" t="inlineStr">
        <is>
          <t>MUNKEDAL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46311</v>
      </c>
      <c r="F346" t="inlineStr">
        <is>
          <t>VÄSTRA GÖTALANDS LÄN</t>
        </is>
      </c>
      <c r="G346" t="inlineStr">
        <is>
          <t>MUNKEDAL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45778</v>
      </c>
      <c r="E347" s="1" t="n">
        <v>46311</v>
      </c>
      <c r="F347" t="inlineStr">
        <is>
          <t>VÄSTRA GÖTALANDS LÄN</t>
        </is>
      </c>
      <c r="G347" t="inlineStr">
        <is>
          <t>MUNKEDAL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45777</v>
      </c>
      <c r="E348" s="1" t="n">
        <v>46311</v>
      </c>
      <c r="F348" t="inlineStr">
        <is>
          <t>VÄSTRA GÖTALANDS LÄN</t>
        </is>
      </c>
      <c r="G348" t="inlineStr">
        <is>
          <t>MUNKEDAL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45784</v>
      </c>
      <c r="E349" s="1" t="n">
        <v>46311</v>
      </c>
      <c r="F349" t="inlineStr">
        <is>
          <t>VÄSTRA GÖTALANDS LÄN</t>
        </is>
      </c>
      <c r="G349" t="inlineStr">
        <is>
          <t>MUNKEDAL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46294</v>
      </c>
      <c r="E350" s="1" t="n">
        <v>46311</v>
      </c>
      <c r="F350" t="inlineStr">
        <is>
          <t>VÄSTRA GÖTALANDS LÄN</t>
        </is>
      </c>
      <c r="G350" t="inlineStr">
        <is>
          <t>MUNKEDAL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45784</v>
      </c>
      <c r="E351" s="1" t="n">
        <v>46311</v>
      </c>
      <c r="F351" t="inlineStr">
        <is>
          <t>VÄSTRA GÖTALANDS LÄN</t>
        </is>
      </c>
      <c r="G351" t="inlineStr">
        <is>
          <t>MUNKEDAL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46311</v>
      </c>
      <c r="F352" t="inlineStr">
        <is>
          <t>VÄSTRA GÖTALANDS LÄN</t>
        </is>
      </c>
      <c r="G352" t="inlineStr">
        <is>
          <t>MUNKEDAL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46311</v>
      </c>
      <c r="F353" t="inlineStr">
        <is>
          <t>VÄSTRA GÖTALANDS LÄN</t>
        </is>
      </c>
      <c r="G353" t="inlineStr">
        <is>
          <t>MUNKEDAL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46000</v>
      </c>
      <c r="E354" s="1" t="n">
        <v>46311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46294</v>
      </c>
      <c r="E355" s="1" t="n">
        <v>46311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46311</v>
      </c>
      <c r="F356" t="inlineStr">
        <is>
          <t>VÄSTRA GÖTALANDS LÄN</t>
        </is>
      </c>
      <c r="G356" t="inlineStr">
        <is>
          <t>MUNKEDAL</t>
        </is>
      </c>
      <c r="I356" t="n">
        <v>17.5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46311</v>
      </c>
      <c r="F357" t="inlineStr">
        <is>
          <t>VÄSTRA GÖTALANDS LÄN</t>
        </is>
      </c>
      <c r="G357" t="inlineStr">
        <is>
          <t>MUNKEDAL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46311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46002</v>
      </c>
      <c r="E359" s="1" t="n">
        <v>46311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46311</v>
      </c>
      <c r="F360" t="inlineStr">
        <is>
          <t>VÄSTRA GÖTALANDS LÄN</t>
        </is>
      </c>
      <c r="G360" t="inlineStr">
        <is>
          <t>MUNKEDAL</t>
        </is>
      </c>
      <c r="I360" t="n">
        <v>8.9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46311</v>
      </c>
      <c r="F361" t="inlineStr">
        <is>
          <t>VÄSTRA GÖTALANDS LÄN</t>
        </is>
      </c>
      <c r="G361" t="inlineStr">
        <is>
          <t>MUNKEDAL</t>
        </is>
      </c>
      <c r="I361" t="n">
        <v>11.6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34288-2026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46253</v>
      </c>
      <c r="E362" s="1" t="n">
        <v>46311</v>
      </c>
      <c r="F362" t="inlineStr">
        <is>
          <t>VÄSTRA GÖTALANDS LÄN</t>
        </is>
      </c>
      <c r="G362" t="inlineStr">
        <is>
          <t>MUNKEDAL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46253</v>
      </c>
      <c r="E363" s="1" t="n">
        <v>46311</v>
      </c>
      <c r="F363" t="inlineStr">
        <is>
          <t>VÄSTRA GÖTALANDS LÄN</t>
        </is>
      </c>
      <c r="G363" t="inlineStr">
        <is>
          <t>MUNKEDAL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46311</v>
      </c>
      <c r="F364" t="inlineStr">
        <is>
          <t>VÄSTRA GÖTALANDS LÄN</t>
        </is>
      </c>
      <c r="G364" t="inlineStr">
        <is>
          <t>MUNKEDAL</t>
        </is>
      </c>
      <c r="I364" t="n">
        <v>11.6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46311</v>
      </c>
      <c r="F365" t="inlineStr">
        <is>
          <t>VÄSTRA GÖTALANDS LÄN</t>
        </is>
      </c>
      <c r="G365" t="inlineStr">
        <is>
          <t>MUNKEDAL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46311</v>
      </c>
      <c r="F366" t="inlineStr">
        <is>
          <t>VÄSTRA GÖTALANDS LÄN</t>
        </is>
      </c>
      <c r="G366" t="inlineStr">
        <is>
          <t>MUNKEDAL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46295</v>
      </c>
      <c r="E367" s="1" t="n">
        <v>46311</v>
      </c>
      <c r="F367" t="inlineStr">
        <is>
          <t>VÄSTRA GÖTALANDS LÄN</t>
        </is>
      </c>
      <c r="G367" t="inlineStr">
        <is>
          <t>MUNKEDAL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46253</v>
      </c>
      <c r="E368" s="1" t="n">
        <v>46311</v>
      </c>
      <c r="F368" t="inlineStr">
        <is>
          <t>VÄSTRA GÖTALANDS LÄN</t>
        </is>
      </c>
      <c r="G368" t="inlineStr">
        <is>
          <t>MUNKEDAL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46311</v>
      </c>
      <c r="F369" t="inlineStr">
        <is>
          <t>VÄSTRA GÖTALANDS LÄN</t>
        </is>
      </c>
      <c r="G369" t="inlineStr">
        <is>
          <t>MUNKEDAL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46311</v>
      </c>
      <c r="F370" t="inlineStr">
        <is>
          <t>VÄSTRA GÖTALANDS LÄN</t>
        </is>
      </c>
      <c r="G370" t="inlineStr">
        <is>
          <t>MUNKEDAL</t>
        </is>
      </c>
      <c r="I370" t="n">
        <v>12.7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45408</v>
      </c>
      <c r="E371" s="1" t="n">
        <v>46311</v>
      </c>
      <c r="F371" t="inlineStr">
        <is>
          <t>VÄSTRA GÖTALANDS LÄN</t>
        </is>
      </c>
      <c r="G371" t="inlineStr">
        <is>
          <t>MUNKEDAL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46311</v>
      </c>
      <c r="F372" t="inlineStr">
        <is>
          <t>VÄSTRA GÖTALANDS LÄN</t>
        </is>
      </c>
      <c r="G372" t="inlineStr">
        <is>
          <t>MUNKEDAL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45721</v>
      </c>
      <c r="E373" s="1" t="n">
        <v>46311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46311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26.5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46311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23527-2025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45792</v>
      </c>
      <c r="E376" s="1" t="n">
        <v>46311</v>
      </c>
      <c r="F376" t="inlineStr">
        <is>
          <t>VÄSTRA GÖTALANDS LÄN</t>
        </is>
      </c>
      <c r="G376" t="inlineStr">
        <is>
          <t>MUNKEDAL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45696</v>
      </c>
      <c r="E377" s="1" t="n">
        <v>46311</v>
      </c>
      <c r="F377" t="inlineStr">
        <is>
          <t>VÄSTRA GÖTALANDS LÄN</t>
        </is>
      </c>
      <c r="G377" t="inlineStr">
        <is>
          <t>MUNKEDAL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64147-2025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46022</v>
      </c>
      <c r="E378" s="1" t="n">
        <v>46311</v>
      </c>
      <c r="F378" t="inlineStr">
        <is>
          <t>VÄSTRA GÖTALANDS LÄN</t>
        </is>
      </c>
      <c r="G378" t="inlineStr">
        <is>
          <t>MUNKEDAL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46022</v>
      </c>
      <c r="E379" s="1" t="n">
        <v>46311</v>
      </c>
      <c r="F379" t="inlineStr">
        <is>
          <t>VÄSTRA GÖTALANDS LÄN</t>
        </is>
      </c>
      <c r="G379" t="inlineStr">
        <is>
          <t>MUNKEDAL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46311</v>
      </c>
      <c r="F380" t="inlineStr">
        <is>
          <t>VÄSTRA GÖTALANDS LÄN</t>
        </is>
      </c>
      <c r="G380" t="inlineStr">
        <is>
          <t>MUNKEDAL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46311</v>
      </c>
      <c r="F381" t="inlineStr">
        <is>
          <t>VÄSTRA GÖTALANDS LÄN</t>
        </is>
      </c>
      <c r="G381" t="inlineStr">
        <is>
          <t>MUNKEDAL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46311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Övriga Aktiebolag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51411-2022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44866</v>
      </c>
      <c r="E383" s="1" t="n">
        <v>46311</v>
      </c>
      <c r="F383" t="inlineStr">
        <is>
          <t>VÄSTRA GÖTALANDS LÄN</t>
        </is>
      </c>
      <c r="G383" t="inlineStr">
        <is>
          <t>MUNKEDAL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44482-2023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45189</v>
      </c>
      <c r="E384" s="1" t="n">
        <v>46311</v>
      </c>
      <c r="F384" t="inlineStr">
        <is>
          <t>VÄSTRA GÖTALANDS LÄN</t>
        </is>
      </c>
      <c r="G384" t="inlineStr">
        <is>
          <t>MUNKEDAL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41262-2026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46297</v>
      </c>
      <c r="E385" s="1" t="n">
        <v>46311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46311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46303</v>
      </c>
      <c r="E387" s="1" t="n">
        <v>46311</v>
      </c>
      <c r="F387" t="inlineStr">
        <is>
          <t>VÄSTRA GÖTALANDS LÄN</t>
        </is>
      </c>
      <c r="G387" t="inlineStr">
        <is>
          <t>MUNKEDAL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46303</v>
      </c>
      <c r="E388" s="1" t="n">
        <v>46311</v>
      </c>
      <c r="F388" t="inlineStr">
        <is>
          <t>VÄSTRA GÖTALANDS LÄN</t>
        </is>
      </c>
      <c r="G388" t="inlineStr">
        <is>
          <t>MUNKEDAL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46035</v>
      </c>
      <c r="E389" s="1" t="n">
        <v>46311</v>
      </c>
      <c r="F389" t="inlineStr">
        <is>
          <t>VÄSTRA GÖTALANDS LÄN</t>
        </is>
      </c>
      <c r="G389" t="inlineStr">
        <is>
          <t>MUNKEDAL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46311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46303</v>
      </c>
      <c r="E391" s="1" t="n">
        <v>46311</v>
      </c>
      <c r="F391" t="inlineStr">
        <is>
          <t>VÄSTRA GÖTALANDS LÄN</t>
        </is>
      </c>
      <c r="G391" t="inlineStr">
        <is>
          <t>MUNKEDAL</t>
        </is>
      </c>
      <c r="I391" t="n">
        <v>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45820</v>
      </c>
      <c r="E392" s="1" t="n">
        <v>46311</v>
      </c>
      <c r="F392" t="inlineStr">
        <is>
          <t>VÄSTRA GÖTALANDS LÄN</t>
        </is>
      </c>
      <c r="G392" t="inlineStr">
        <is>
          <t>MUNKEDAL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46311</v>
      </c>
      <c r="F393" t="inlineStr">
        <is>
          <t>VÄSTRA GÖTALANDS LÄN</t>
        </is>
      </c>
      <c r="G393" t="inlineStr">
        <is>
          <t>MUNKEDAL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46311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46302</v>
      </c>
      <c r="E395" s="1" t="n">
        <v>46311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46308</v>
      </c>
      <c r="E396" s="1" t="n">
        <v>46311</v>
      </c>
      <c r="F396" t="inlineStr">
        <is>
          <t>VÄSTRA GÖTALANDS LÄN</t>
        </is>
      </c>
      <c r="G396" t="inlineStr">
        <is>
          <t>MUNKEDAL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46311</v>
      </c>
      <c r="F397" t="inlineStr">
        <is>
          <t>VÄSTRA GÖTALANDS LÄN</t>
        </is>
      </c>
      <c r="G397" t="inlineStr">
        <is>
          <t>MUNKEDAL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46044</v>
      </c>
      <c r="E398" s="1" t="n">
        <v>46311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46311</v>
      </c>
      <c r="F399" t="inlineStr">
        <is>
          <t>VÄSTRA GÖTALANDS LÄN</t>
        </is>
      </c>
      <c r="G399" t="inlineStr">
        <is>
          <t>MUNKEDAL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46047</v>
      </c>
      <c r="E400" s="1" t="n">
        <v>46311</v>
      </c>
      <c r="F400" t="inlineStr">
        <is>
          <t>VÄSTRA GÖTALANDS LÄN</t>
        </is>
      </c>
      <c r="G400" t="inlineStr">
        <is>
          <t>MUNKEDAL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46050</v>
      </c>
      <c r="E401" s="1" t="n">
        <v>46311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Kyrkan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46311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46311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46311</v>
      </c>
      <c r="F404" t="inlineStr">
        <is>
          <t>VÄSTRA GÖTALANDS LÄN</t>
        </is>
      </c>
      <c r="G404" t="inlineStr">
        <is>
          <t>MUNKEDAL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46311</v>
      </c>
      <c r="F405" t="inlineStr">
        <is>
          <t>VÄSTRA GÖTALANDS LÄN</t>
        </is>
      </c>
      <c r="G405" t="inlineStr">
        <is>
          <t>MUNKEDAL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46311</v>
      </c>
      <c r="F406" t="inlineStr">
        <is>
          <t>VÄSTRA GÖTALANDS LÄN</t>
        </is>
      </c>
      <c r="G406" t="inlineStr">
        <is>
          <t>MUNKEDAL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46311</v>
      </c>
      <c r="F407" t="inlineStr">
        <is>
          <t>VÄSTRA GÖTALANDS LÄN</t>
        </is>
      </c>
      <c r="G407" t="inlineStr">
        <is>
          <t>MUNKEDAL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36113-2026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46267</v>
      </c>
      <c r="E408" s="1" t="n">
        <v>46311</v>
      </c>
      <c r="F408" t="inlineStr">
        <is>
          <t>VÄSTRA GÖTALANDS LÄN</t>
        </is>
      </c>
      <c r="G408" t="inlineStr">
        <is>
          <t>MUNKEDAL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46267</v>
      </c>
      <c r="E409" s="1" t="n">
        <v>46311</v>
      </c>
      <c r="F409" t="inlineStr">
        <is>
          <t>VÄSTRA GÖTALANDS LÄN</t>
        </is>
      </c>
      <c r="G409" t="inlineStr">
        <is>
          <t>MUNKEDAL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46311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46311</v>
      </c>
      <c r="F411" t="inlineStr">
        <is>
          <t>VÄSTRA GÖTALANDS LÄN</t>
        </is>
      </c>
      <c r="G411" t="inlineStr">
        <is>
          <t>MUNKEDAL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45342</v>
      </c>
      <c r="E412" s="1" t="n">
        <v>46311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Kyrkan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46311</v>
      </c>
      <c r="F413" t="inlineStr">
        <is>
          <t>VÄSTRA GÖTALANDS LÄN</t>
        </is>
      </c>
      <c r="G413" t="inlineStr">
        <is>
          <t>MUNKEDAL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46311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46311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46311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46311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46311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2026-10-16T02:17:08Z</dcterms:created>
  <dcterms:modified xmlns:dcterms="http://purl.org/dc/terms/" xmlns:xsi="http://www.w3.org/2001/XMLSchema-instance" xsi:type="dcterms:W3CDTF">2026-10-16T02:17:09Z</dcterms:modified>
</cp:coreProperties>
</file>