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46321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46321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46321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46321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56578-2025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45974</v>
      </c>
      <c r="E6" s="1" t="n">
        <v>46321</v>
      </c>
      <c r="F6" t="inlineStr">
        <is>
          <t>VÄSTRA GÖTALANDS LÄN</t>
        </is>
      </c>
      <c r="G6" t="inlineStr">
        <is>
          <t>MUNKEDAL</t>
        </is>
      </c>
      <c r="H6" t="inlineStr">
        <is>
          <t>Övriga Aktiebolag</t>
        </is>
      </c>
      <c r="I6" t="n">
        <v>18.6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Fläcknycklar</t>
        </is>
      </c>
      <c r="W6">
        <f>HYPERLINK("https://klasma.github.io/Logging_1430/artfynd/A 56578-2025 artfynd.xlsx", "A 56578-2025")</f>
        <v/>
      </c>
      <c r="X6">
        <f>HYPERLINK("https://klasma.github.io/Logging_1430/kartor/A 56578-2025 karta.png", "A 56578-2025")</f>
        <v/>
      </c>
      <c r="Y6">
        <f>HYPERLINK("https://klasma.github.io/Logging_1430/kartor_geotiff/A 56578-2025 georefererad karta.tif", "A 56578-2025")</f>
        <v/>
      </c>
      <c r="AA6">
        <f>HYPERLINK("https://klasma.github.io/Logging_1430/klagomål/A 56578-2025 FSC-klagomål.docx", "A 56578-2025")</f>
        <v/>
      </c>
      <c r="AB6">
        <f>HYPERLINK("https://klasma.github.io/Logging_1430/klagomålsmail/A 56578-2025 FSC-klagomål mail.docx", "A 56578-2025")</f>
        <v/>
      </c>
      <c r="AC6">
        <f>HYPERLINK("https://klasma.github.io/Logging_1430/tillsyn/A 56578-2025 tillsynsbegäran.docx", "A 56578-2025")</f>
        <v/>
      </c>
      <c r="AD6">
        <f>HYPERLINK("https://klasma.github.io/Logging_1430/tillsynsmail/A 56578-2025 tillsynsbegäran mail.docx", "A 56578-2025")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46321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46321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46321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46321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46321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6545-2022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44601</v>
      </c>
      <c r="E12" s="1" t="n">
        <v>46321</v>
      </c>
      <c r="F12" t="inlineStr">
        <is>
          <t>VÄSTRA GÖTALANDS LÄN</t>
        </is>
      </c>
      <c r="G12" t="inlineStr">
        <is>
          <t>MUNKEDAL</t>
        </is>
      </c>
      <c r="I12" t="n">
        <v>4.1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HYPERLINK("https://klasma.github.io/Logging_1430/artfynd/A 6545-2022 artfynd.xlsx", "A 6545-2022")</f>
        <v/>
      </c>
      <c r="X12">
        <f>HYPERLINK("https://klasma.github.io/Logging_1430/kartor/A 6545-2022 karta.png", "A 6545-2022")</f>
        <v/>
      </c>
      <c r="Y12">
        <f>HYPERLINK("https://klasma.github.io/Logging_1430/kartor_geotiff/A 6545-2022 georefererad karta.tif", "A 6545-2022")</f>
        <v/>
      </c>
      <c r="AA12">
        <f>HYPERLINK("https://klasma.github.io/Logging_1430/klagomål/A 6545-2022 FSC-klagomål.docx", "A 6545-2022")</f>
        <v/>
      </c>
      <c r="AB12">
        <f>HYPERLINK("https://klasma.github.io/Logging_1430/klagomålsmail/A 6545-2022 FSC-klagomål mail.docx", "A 6545-2022")</f>
        <v/>
      </c>
      <c r="AC12">
        <f>HYPERLINK("https://klasma.github.io/Logging_1430/tillsyn/A 6545-2022 tillsynsbegäran.docx", "A 6545-2022")</f>
        <v/>
      </c>
      <c r="AD12">
        <f>HYPERLINK("https://klasma.github.io/Logging_1430/tillsynsmail/A 6545-2022 tillsynsbegäran mail.docx", "A 6545-2022")</f>
        <v/>
      </c>
    </row>
    <row r="13" ht="15" customHeight="1">
      <c r="A13" t="inlineStr">
        <is>
          <t>A 19188-2022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46321</v>
      </c>
      <c r="F13" t="inlineStr">
        <is>
          <t>VÄSTRA GÖTALANDS LÄN</t>
        </is>
      </c>
      <c r="G13" t="inlineStr">
        <is>
          <t>MUNKEDAL</t>
        </is>
      </c>
      <c r="I13" t="n">
        <v>0.6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Vanlig padda</t>
        </is>
      </c>
      <c r="W13">
        <f>HYPERLINK("https://klasma.github.io/Logging_1430/artfynd/A 19188-2022 artfynd.xlsx", "A 19188-2022")</f>
        <v/>
      </c>
      <c r="X13">
        <f>HYPERLINK("https://klasma.github.io/Logging_1430/kartor/A 19188-2022 karta.png", "A 19188-2022")</f>
        <v/>
      </c>
      <c r="Y13">
        <f>HYPERLINK("https://klasma.github.io/Logging_1430/kartor_geotiff/A 19188-2022 georefererad karta.tif", "A 19188-2022")</f>
        <v/>
      </c>
      <c r="AA13">
        <f>HYPERLINK("https://klasma.github.io/Logging_1430/klagomål/A 19188-2022 FSC-klagomål.docx", "A 19188-2022")</f>
        <v/>
      </c>
      <c r="AB13">
        <f>HYPERLINK("https://klasma.github.io/Logging_1430/klagomålsmail/A 19188-2022 FSC-klagomål mail.docx", "A 19188-2022")</f>
        <v/>
      </c>
      <c r="AC13">
        <f>HYPERLINK("https://klasma.github.io/Logging_1430/tillsyn/A 19188-2022 tillsynsbegäran.docx", "A 19188-2022")</f>
        <v/>
      </c>
      <c r="AD13">
        <f>HYPERLINK("https://klasma.github.io/Logging_1430/tillsynsmail/A 19188-2022 tillsynsbegäran mail.docx", "A 19188-2022")</f>
        <v/>
      </c>
    </row>
    <row r="14" ht="15" customHeight="1">
      <c r="A14" t="inlineStr">
        <is>
          <t>A 22963-2026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46160</v>
      </c>
      <c r="E14" s="1" t="n">
        <v>46321</v>
      </c>
      <c r="F14" t="inlineStr">
        <is>
          <t>VÄSTRA GÖTALANDS LÄN</t>
        </is>
      </c>
      <c r="G14" t="inlineStr">
        <is>
          <t>MUNKEDAL</t>
        </is>
      </c>
      <c r="I14" t="n">
        <v>2.9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HYPERLINK("https://klasma.github.io/Logging_1430/artfynd/A 22963-2026 artfynd.xlsx", "A 22963-2026")</f>
        <v/>
      </c>
      <c r="X14">
        <f>HYPERLINK("https://klasma.github.io/Logging_1430/kartor/A 22963-2026 karta.png", "A 22963-2026")</f>
        <v/>
      </c>
      <c r="Y14">
        <f>HYPERLINK("https://klasma.github.io/Logging_1430/kartor_geotiff/A 22963-2026 georefererad karta.tif", "A 22963-2026")</f>
        <v/>
      </c>
      <c r="AA14">
        <f>HYPERLINK("https://klasma.github.io/Logging_1430/klagomål/A 22963-2026 FSC-klagomål.docx", "A 22963-2026")</f>
        <v/>
      </c>
      <c r="AB14">
        <f>HYPERLINK("https://klasma.github.io/Logging_1430/klagomålsmail/A 22963-2026 FSC-klagomål mail.docx", "A 22963-2026")</f>
        <v/>
      </c>
      <c r="AC14">
        <f>HYPERLINK("https://klasma.github.io/Logging_1430/tillsyn/A 22963-2026 tillsynsbegäran.docx", "A 22963-2026")</f>
        <v/>
      </c>
      <c r="AD14">
        <f>HYPERLINK("https://klasma.github.io/Logging_1430/tillsynsmail/A 22963-2026 tillsynsbegäran mail.docx", "A 22963-2026")</f>
        <v/>
      </c>
    </row>
    <row r="15" ht="15" customHeight="1">
      <c r="A15" t="inlineStr">
        <is>
          <t>A 23065-2026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46161</v>
      </c>
      <c r="E15" s="1" t="n">
        <v>46321</v>
      </c>
      <c r="F15" t="inlineStr">
        <is>
          <t>VÄSTRA GÖTALANDS LÄN</t>
        </is>
      </c>
      <c r="G15" t="inlineStr">
        <is>
          <t>MUNKEDAL</t>
        </is>
      </c>
      <c r="I15" t="n">
        <v>7.5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HYPERLINK("https://klasma.github.io/Logging_1430/artfynd/A 23065-2026 artfynd.xlsx", "A 23065-2026")</f>
        <v/>
      </c>
      <c r="X15">
        <f>HYPERLINK("https://klasma.github.io/Logging_1430/kartor/A 23065-2026 karta.png", "A 23065-2026")</f>
        <v/>
      </c>
      <c r="Y15">
        <f>HYPERLINK("https://klasma.github.io/Logging_1430/kartor_geotiff/A 23065-2026 georefererad karta.tif", "A 23065-2026")</f>
        <v/>
      </c>
      <c r="AA15">
        <f>HYPERLINK("https://klasma.github.io/Logging_1430/klagomål/A 23065-2026 FSC-klagomål.docx", "A 23065-2026")</f>
        <v/>
      </c>
      <c r="AB15">
        <f>HYPERLINK("https://klasma.github.io/Logging_1430/klagomålsmail/A 23065-2026 FSC-klagomål mail.docx", "A 23065-2026")</f>
        <v/>
      </c>
      <c r="AC15">
        <f>HYPERLINK("https://klasma.github.io/Logging_1430/tillsyn/A 23065-2026 tillsynsbegäran.docx", "A 23065-2026")</f>
        <v/>
      </c>
      <c r="AD15">
        <f>HYPERLINK("https://klasma.github.io/Logging_1430/tillsynsmail/A 23065-2026 tillsynsbegäran mail.docx", "A 23065-2026")</f>
        <v/>
      </c>
    </row>
    <row r="16" ht="15" customHeight="1">
      <c r="A16" t="inlineStr">
        <is>
          <t>A 45083-2024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46321</v>
      </c>
      <c r="F16" t="inlineStr">
        <is>
          <t>VÄSTRA GÖTALANDS LÄN</t>
        </is>
      </c>
      <c r="G16" t="inlineStr">
        <is>
          <t>MUNKEDAL</t>
        </is>
      </c>
      <c r="I16" t="n">
        <v>2.7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HYPERLINK("https://klasma.github.io/Logging_1430/artfynd/A 45083-2024 artfynd.xlsx", "A 45083-2024")</f>
        <v/>
      </c>
      <c r="X16">
        <f>HYPERLINK("https://klasma.github.io/Logging_1430/kartor/A 45083-2024 karta.png", "A 45083-2024")</f>
        <v/>
      </c>
      <c r="Y16">
        <f>HYPERLINK("https://klasma.github.io/Logging_1430/kartor_geotiff/A 45083-2024 georefererad karta.tif", "A 45083-2024")</f>
        <v/>
      </c>
      <c r="AA16">
        <f>HYPERLINK("https://klasma.github.io/Logging_1430/klagomål/A 45083-2024 FSC-klagomål.docx", "A 45083-2024")</f>
        <v/>
      </c>
      <c r="AB16">
        <f>HYPERLINK("https://klasma.github.io/Logging_1430/klagomålsmail/A 45083-2024 FSC-klagomål mail.docx", "A 45083-2024")</f>
        <v/>
      </c>
      <c r="AC16">
        <f>HYPERLINK("https://klasma.github.io/Logging_1430/tillsyn/A 45083-2024 tillsynsbegäran.docx", "A 45083-2024")</f>
        <v/>
      </c>
      <c r="AD16">
        <f>HYPERLINK("https://klasma.github.io/Logging_1430/tillsynsmail/A 45083-2024 tillsynsbegäran mail.docx", "A 45083-2024")</f>
        <v/>
      </c>
    </row>
    <row r="17" ht="15" customHeight="1">
      <c r="A17" t="inlineStr">
        <is>
          <t>A 16618-2022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44672</v>
      </c>
      <c r="E17" s="1" t="n">
        <v>46321</v>
      </c>
      <c r="F17" t="inlineStr">
        <is>
          <t>VÄSTRA GÖTALANDS LÄN</t>
        </is>
      </c>
      <c r="G17" t="inlineStr">
        <is>
          <t>MUNKEDAL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Vanlig padda</t>
        </is>
      </c>
      <c r="W17">
        <f>HYPERLINK("https://klasma.github.io/Logging_1430/artfynd/A 16618-2022 artfynd.xlsx", "A 16618-2022")</f>
        <v/>
      </c>
      <c r="X17">
        <f>HYPERLINK("https://klasma.github.io/Logging_1430/kartor/A 16618-2022 karta.png", "A 16618-2022")</f>
        <v/>
      </c>
      <c r="Y17">
        <f>HYPERLINK("https://klasma.github.io/Logging_1430/kartor_geotiff/A 16618-2022 georefererad karta.tif", "A 16618-2022")</f>
        <v/>
      </c>
      <c r="AA17">
        <f>HYPERLINK("https://klasma.github.io/Logging_1430/klagomål/A 16618-2022 FSC-klagomål.docx", "A 16618-2022")</f>
        <v/>
      </c>
      <c r="AB17">
        <f>HYPERLINK("https://klasma.github.io/Logging_1430/klagomålsmail/A 16618-2022 FSC-klagomål mail.docx", "A 16618-2022")</f>
        <v/>
      </c>
      <c r="AC17">
        <f>HYPERLINK("https://klasma.github.io/Logging_1430/tillsyn/A 16618-2022 tillsynsbegäran.docx", "A 16618-2022")</f>
        <v/>
      </c>
      <c r="AD17">
        <f>HYPERLINK("https://klasma.github.io/Logging_1430/tillsynsmail/A 16618-2022 tillsynsbegäran mail.docx", "A 16618-2022")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46321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46321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46321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46321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46321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Trollsmultron</t>
        </is>
      </c>
      <c r="W22">
        <f>HYPERLINK("https://klasma.github.io/Logging_1430/artfynd/A 62525-2021 artfynd.xlsx", "A 62525-2021")</f>
        <v/>
      </c>
      <c r="X22">
        <f>HYPERLINK("https://klasma.github.io/Logging_1430/kartor/A 62525-2021 karta.png", "A 62525-2021")</f>
        <v/>
      </c>
      <c r="Y22">
        <f>HYPERLINK("https://klasma.github.io/Logging_1430/kartor_geotiff/A 62525-2021 georefererad karta.tif", "A 62525-2021")</f>
        <v/>
      </c>
      <c r="AA22">
        <f>HYPERLINK("https://klasma.github.io/Logging_1430/klagomål/A 62525-2021 FSC-klagomål.docx", "A 62525-2021")</f>
        <v/>
      </c>
      <c r="AB22">
        <f>HYPERLINK("https://klasma.github.io/Logging_1430/klagomålsmail/A 62525-2021 FSC-klagomål mail.docx", "A 62525-2021")</f>
        <v/>
      </c>
      <c r="AC22">
        <f>HYPERLINK("https://klasma.github.io/Logging_1430/tillsyn/A 62525-2021 tillsynsbegäran.docx", "A 62525-2021")</f>
        <v/>
      </c>
      <c r="AD22">
        <f>HYPERLINK("https://klasma.github.io/Logging_1430/tillsynsmail/A 62525-2021 tillsynsbegäran mail.docx", "A 62525-2021")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46321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58890-2022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46321</v>
      </c>
      <c r="F24" t="inlineStr">
        <is>
          <t>VÄSTRA GÖTALANDS LÄN</t>
        </is>
      </c>
      <c r="G24" t="inlineStr">
        <is>
          <t>MUNKEDAL</t>
        </is>
      </c>
      <c r="I24" t="n">
        <v>5.4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HYPERLINK("https://klasma.github.io/Logging_1430/artfynd/A 58890-2022 artfynd.xlsx", "A 58890-2022")</f>
        <v/>
      </c>
      <c r="X24">
        <f>HYPERLINK("https://klasma.github.io/Logging_1430/kartor/A 58890-2022 karta.png", "A 58890-2022")</f>
        <v/>
      </c>
      <c r="Y24">
        <f>HYPERLINK("https://klasma.github.io/Logging_1430/kartor_geotiff/A 58890-2022 georefererad karta.tif", "A 58890-2022")</f>
        <v/>
      </c>
      <c r="AA24">
        <f>HYPERLINK("https://klasma.github.io/Logging_1430/klagomål/A 58890-2022 FSC-klagomål.docx", "A 58890-2022")</f>
        <v/>
      </c>
      <c r="AB24">
        <f>HYPERLINK("https://klasma.github.io/Logging_1430/klagomålsmail/A 58890-2022 FSC-klagomål mail.docx", "A 58890-2022")</f>
        <v/>
      </c>
      <c r="AC24">
        <f>HYPERLINK("https://klasma.github.io/Logging_1430/tillsyn/A 58890-2022 tillsynsbegäran.docx", "A 58890-2022")</f>
        <v/>
      </c>
      <c r="AD24">
        <f>HYPERLINK("https://klasma.github.io/Logging_1430/tillsynsmail/A 58890-2022 tillsynsbegäran mail.docx", "A 58890-2022")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46321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46321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46321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46321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S 622-2024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46321</v>
      </c>
      <c r="F29" t="inlineStr">
        <is>
          <t>VÄSTRA GÖTALANDS LÄN</t>
        </is>
      </c>
      <c r="G29" t="inlineStr">
        <is>
          <t>MUNKEDAL</t>
        </is>
      </c>
      <c r="I29" t="n">
        <v>22.5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HYPERLINK("https://klasma.github.io/Logging_1430/artfynd/S 622-2024 artfynd.xlsx", "S 622-2024")</f>
        <v/>
      </c>
      <c r="X29">
        <f>HYPERLINK("https://klasma.github.io/Logging_1430/kartor/S 622-2024 karta.png", "S 622-2024")</f>
        <v/>
      </c>
      <c r="Y29">
        <f>HYPERLINK("https://klasma.github.io/Logging_1430/kartor_geotiff/S 622-2024 georefererad karta.tif", "S 622-2024")</f>
        <v/>
      </c>
      <c r="AA29">
        <f>HYPERLINK("https://klasma.github.io/Logging_1430/klagomål/S 622-2024 FSC-klagomål.docx", "S 622-2024")</f>
        <v/>
      </c>
      <c r="AB29">
        <f>HYPERLINK("https://klasma.github.io/Logging_1430/klagomålsmail/S 622-2024 FSC-klagomål mail.docx", "S 622-2024")</f>
        <v/>
      </c>
      <c r="AC29">
        <f>HYPERLINK("https://klasma.github.io/Logging_1430/tillsyn/S 622-2024 tillsynsbegäran.docx", "S 622-2024")</f>
        <v/>
      </c>
      <c r="AD29">
        <f>HYPERLINK("https://klasma.github.io/Logging_1430/tillsynsmail/S 622-2024 tillsynsbegäran mail.docx", "S 622-2024")</f>
        <v/>
      </c>
      <c r="AE29">
        <f>HYPERLINK("https://klasma.github.io/Logging_1430/fåglar/S 622-2024 prioriterade fågelarter.docx", "S 622-2024")</f>
        <v/>
      </c>
    </row>
    <row r="30" ht="15" customHeight="1">
      <c r="A30" t="inlineStr">
        <is>
          <t>A 56037-2022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46321</v>
      </c>
      <c r="F30" t="inlineStr">
        <is>
          <t>VÄSTRA GÖTALANDS LÄN</t>
        </is>
      </c>
      <c r="G30" t="inlineStr">
        <is>
          <t>MUNKEDAL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73977-2021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44554</v>
      </c>
      <c r="E31" s="1" t="n">
        <v>46321</v>
      </c>
      <c r="F31" t="inlineStr">
        <is>
          <t>VÄSTRA GÖTALANDS LÄN</t>
        </is>
      </c>
      <c r="G31" t="inlineStr">
        <is>
          <t>MUNKEDAL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46321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46321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63901-2021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46321</v>
      </c>
      <c r="F34" t="inlineStr">
        <is>
          <t>VÄSTRA GÖTALANDS LÄN</t>
        </is>
      </c>
      <c r="G34" t="inlineStr">
        <is>
          <t>MUNKEDAL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46321</v>
      </c>
      <c r="F35" t="inlineStr">
        <is>
          <t>VÄSTRA GÖTALANDS LÄN</t>
        </is>
      </c>
      <c r="G35" t="inlineStr">
        <is>
          <t>MUNKEDAL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46321</v>
      </c>
      <c r="F36" t="inlineStr">
        <is>
          <t>VÄSTRA GÖTALANDS LÄN</t>
        </is>
      </c>
      <c r="G36" t="inlineStr">
        <is>
          <t>MUNKEDAL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46321</v>
      </c>
      <c r="F37" t="inlineStr">
        <is>
          <t>VÄSTRA GÖTALANDS LÄN</t>
        </is>
      </c>
      <c r="G37" t="inlineStr">
        <is>
          <t>MUNKEDAL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68333-2021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44527</v>
      </c>
      <c r="E38" s="1" t="n">
        <v>46321</v>
      </c>
      <c r="F38" t="inlineStr">
        <is>
          <t>VÄSTRA GÖTALANDS LÄN</t>
        </is>
      </c>
      <c r="G38" t="inlineStr">
        <is>
          <t>MUNKEDAL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46321</v>
      </c>
      <c r="F39" t="inlineStr">
        <is>
          <t>VÄSTRA GÖTALANDS LÄN</t>
        </is>
      </c>
      <c r="G39" t="inlineStr">
        <is>
          <t>MUNKEDAL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44806</v>
      </c>
      <c r="E40" s="1" t="n">
        <v>46321</v>
      </c>
      <c r="F40" t="inlineStr">
        <is>
          <t>VÄSTRA GÖTALANDS LÄN</t>
        </is>
      </c>
      <c r="G40" t="inlineStr">
        <is>
          <t>MUNKEDAL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46321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46321</v>
      </c>
      <c r="F42" t="inlineStr">
        <is>
          <t>VÄSTRA GÖTALANDS LÄN</t>
        </is>
      </c>
      <c r="G42" t="inlineStr">
        <is>
          <t>MUNKEDAL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46321</v>
      </c>
      <c r="F43" t="inlineStr">
        <is>
          <t>VÄSTRA GÖTALANDS LÄN</t>
        </is>
      </c>
      <c r="G43" t="inlineStr">
        <is>
          <t>MUNKEDAL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46321</v>
      </c>
      <c r="F44" t="inlineStr">
        <is>
          <t>VÄSTRA GÖTALANDS LÄN</t>
        </is>
      </c>
      <c r="G44" t="inlineStr">
        <is>
          <t>MUNKEDAL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44823</v>
      </c>
      <c r="E45" s="1" t="n">
        <v>46321</v>
      </c>
      <c r="F45" t="inlineStr">
        <is>
          <t>VÄSTRA GÖTALANDS LÄN</t>
        </is>
      </c>
      <c r="G45" t="inlineStr">
        <is>
          <t>MUNKEDAL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46321</v>
      </c>
      <c r="F46" t="inlineStr">
        <is>
          <t>VÄSTRA GÖTALANDS LÄN</t>
        </is>
      </c>
      <c r="G46" t="inlineStr">
        <is>
          <t>MUNKEDAL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46321</v>
      </c>
      <c r="F47" t="inlineStr">
        <is>
          <t>VÄSTRA GÖTALANDS LÄN</t>
        </is>
      </c>
      <c r="G47" t="inlineStr">
        <is>
          <t>MUNKEDAL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46321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44609</v>
      </c>
      <c r="E49" s="1" t="n">
        <v>46321</v>
      </c>
      <c r="F49" t="inlineStr">
        <is>
          <t>VÄSTRA GÖTALANDS LÄN</t>
        </is>
      </c>
      <c r="G49" t="inlineStr">
        <is>
          <t>MUNKEDAL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46321</v>
      </c>
      <c r="F50" t="inlineStr">
        <is>
          <t>VÄSTRA GÖTALANDS LÄN</t>
        </is>
      </c>
      <c r="G50" t="inlineStr">
        <is>
          <t>MUNKEDAL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46321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46321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46321</v>
      </c>
      <c r="F53" t="inlineStr">
        <is>
          <t>VÄSTRA GÖTALANDS LÄN</t>
        </is>
      </c>
      <c r="G53" t="inlineStr">
        <is>
          <t>MUNKEDAL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46321</v>
      </c>
      <c r="F54" t="inlineStr">
        <is>
          <t>VÄSTRA GÖTALANDS LÄN</t>
        </is>
      </c>
      <c r="G54" t="inlineStr">
        <is>
          <t>MUNKEDAL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46321</v>
      </c>
      <c r="F55" t="inlineStr">
        <is>
          <t>VÄSTRA GÖTALANDS LÄN</t>
        </is>
      </c>
      <c r="G55" t="inlineStr">
        <is>
          <t>MUNKEDAL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28397-2025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46321</v>
      </c>
      <c r="F56" t="inlineStr">
        <is>
          <t>VÄSTRA GÖTALANDS LÄN</t>
        </is>
      </c>
      <c r="G56" t="inlineStr">
        <is>
          <t>MUNKEDAL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56892-2023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45244</v>
      </c>
      <c r="E57" s="1" t="n">
        <v>46321</v>
      </c>
      <c r="F57" t="inlineStr">
        <is>
          <t>VÄSTRA GÖTALANDS LÄN</t>
        </is>
      </c>
      <c r="G57" t="inlineStr">
        <is>
          <t>MUNKEDAL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44774</v>
      </c>
      <c r="E58" s="1" t="n">
        <v>46321</v>
      </c>
      <c r="F58" t="inlineStr">
        <is>
          <t>VÄSTRA GÖTALANDS LÄN</t>
        </is>
      </c>
      <c r="G58" t="inlineStr">
        <is>
          <t>MUNKEDAL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38544-2024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46321</v>
      </c>
      <c r="F59" t="inlineStr">
        <is>
          <t>VÄSTRA GÖTALANDS LÄN</t>
        </is>
      </c>
      <c r="G59" t="inlineStr">
        <is>
          <t>MUNKEDAL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46321</v>
      </c>
      <c r="F60" t="inlineStr">
        <is>
          <t>VÄSTRA GÖTALANDS LÄN</t>
        </is>
      </c>
      <c r="G60" t="inlineStr">
        <is>
          <t>MUNKEDAL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49218-2022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46321</v>
      </c>
      <c r="F61" t="inlineStr">
        <is>
          <t>VÄSTRA GÖTALANDS LÄN</t>
        </is>
      </c>
      <c r="G61" t="inlineStr">
        <is>
          <t>MUNKEDAL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46321</v>
      </c>
      <c r="F62" t="inlineStr">
        <is>
          <t>VÄSTRA GÖTALANDS LÄN</t>
        </is>
      </c>
      <c r="G62" t="inlineStr">
        <is>
          <t>MUNKEDAL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58617-2023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45251</v>
      </c>
      <c r="E63" s="1" t="n">
        <v>46321</v>
      </c>
      <c r="F63" t="inlineStr">
        <is>
          <t>VÄSTRA GÖTALANDS LÄN</t>
        </is>
      </c>
      <c r="G63" t="inlineStr">
        <is>
          <t>MUNKEDAL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46321</v>
      </c>
      <c r="F64" t="inlineStr">
        <is>
          <t>VÄSTRA GÖTALANDS LÄN</t>
        </is>
      </c>
      <c r="G64" t="inlineStr">
        <is>
          <t>MUNKEDAL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46321</v>
      </c>
      <c r="F65" t="inlineStr">
        <is>
          <t>VÄSTRA GÖTALANDS LÄN</t>
        </is>
      </c>
      <c r="G65" t="inlineStr">
        <is>
          <t>MUNKEDAL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46321</v>
      </c>
      <c r="F66" t="inlineStr">
        <is>
          <t>VÄSTRA GÖTALANDS LÄN</t>
        </is>
      </c>
      <c r="G66" t="inlineStr">
        <is>
          <t>MUNKEDAL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40707-2025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46321</v>
      </c>
      <c r="F67" t="inlineStr">
        <is>
          <t>VÄSTRA GÖTALANDS LÄN</t>
        </is>
      </c>
      <c r="G67" t="inlineStr">
        <is>
          <t>MUNKEDAL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46321</v>
      </c>
      <c r="F68" t="inlineStr">
        <is>
          <t>VÄSTRA GÖTALANDS LÄN</t>
        </is>
      </c>
      <c r="G68" t="inlineStr">
        <is>
          <t>MUNKEDAL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46321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41813-2025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46321</v>
      </c>
      <c r="F70" t="inlineStr">
        <is>
          <t>VÄSTRA GÖTALANDS LÄN</t>
        </is>
      </c>
      <c r="G70" t="inlineStr">
        <is>
          <t>MUNKEDAL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46321</v>
      </c>
      <c r="F71" t="inlineStr">
        <is>
          <t>VÄSTRA GÖTALANDS LÄN</t>
        </is>
      </c>
      <c r="G71" t="inlineStr">
        <is>
          <t>MUNKEDAL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46321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46321</v>
      </c>
      <c r="F73" t="inlineStr">
        <is>
          <t>VÄSTRA GÖTALANDS LÄN</t>
        </is>
      </c>
      <c r="G73" t="inlineStr">
        <is>
          <t>MUNKEDAL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45908</v>
      </c>
      <c r="E74" s="1" t="n">
        <v>46321</v>
      </c>
      <c r="F74" t="inlineStr">
        <is>
          <t>VÄSTRA GÖTALANDS LÄN</t>
        </is>
      </c>
      <c r="G74" t="inlineStr">
        <is>
          <t>MUNKEDAL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46321</v>
      </c>
      <c r="F75" t="inlineStr">
        <is>
          <t>VÄSTRA GÖTALANDS LÄN</t>
        </is>
      </c>
      <c r="G75" t="inlineStr">
        <is>
          <t>MUNKEDAL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46321</v>
      </c>
      <c r="F76" t="inlineStr">
        <is>
          <t>VÄSTRA GÖTALANDS LÄN</t>
        </is>
      </c>
      <c r="G76" t="inlineStr">
        <is>
          <t>MUNKEDAL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46321</v>
      </c>
      <c r="F77" t="inlineStr">
        <is>
          <t>VÄSTRA GÖTALANDS LÄN</t>
        </is>
      </c>
      <c r="G77" t="inlineStr">
        <is>
          <t>MUNKEDAL</t>
        </is>
      </c>
      <c r="H77" t="inlineStr">
        <is>
          <t>Övriga statliga verk och myndigheter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43446-2025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45911</v>
      </c>
      <c r="E78" s="1" t="n">
        <v>46321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46321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45911</v>
      </c>
      <c r="E80" s="1" t="n">
        <v>46321</v>
      </c>
      <c r="F80" t="inlineStr">
        <is>
          <t>VÄSTRA GÖTALANDS LÄN</t>
        </is>
      </c>
      <c r="G80" t="inlineStr">
        <is>
          <t>MUNKEDAL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45912</v>
      </c>
      <c r="E81" s="1" t="n">
        <v>46321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22452-2023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45070</v>
      </c>
      <c r="E82" s="1" t="n">
        <v>46321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46321</v>
      </c>
      <c r="F83" t="inlineStr">
        <is>
          <t>VÄSTRA GÖTALANDS LÄN</t>
        </is>
      </c>
      <c r="G83" t="inlineStr">
        <is>
          <t>MUNKEDAL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46321</v>
      </c>
      <c r="F84" t="inlineStr">
        <is>
          <t>VÄSTRA GÖTALANDS LÄN</t>
        </is>
      </c>
      <c r="G84" t="inlineStr">
        <is>
          <t>MUNKEDAL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45921</v>
      </c>
      <c r="E85" s="1" t="n">
        <v>46321</v>
      </c>
      <c r="F85" t="inlineStr">
        <is>
          <t>VÄSTRA GÖTALANDS LÄN</t>
        </is>
      </c>
      <c r="G85" t="inlineStr">
        <is>
          <t>MUNKEDAL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46321</v>
      </c>
      <c r="F86" t="inlineStr">
        <is>
          <t>VÄSTRA GÖTALANDS LÄN</t>
        </is>
      </c>
      <c r="G86" t="inlineStr">
        <is>
          <t>MUNKEDAL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23876-2026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46167</v>
      </c>
      <c r="E87" s="1" t="n">
        <v>46321</v>
      </c>
      <c r="F87" t="inlineStr">
        <is>
          <t>VÄSTRA GÖTALANDS LÄN</t>
        </is>
      </c>
      <c r="G87" t="inlineStr">
        <is>
          <t>MUNKEDAL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45076</v>
      </c>
      <c r="E88" s="1" t="n">
        <v>46321</v>
      </c>
      <c r="F88" t="inlineStr">
        <is>
          <t>VÄSTRA GÖTALANDS LÄN</t>
        </is>
      </c>
      <c r="G88" t="inlineStr">
        <is>
          <t>MUNKEDAL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45618</v>
      </c>
      <c r="E89" s="1" t="n">
        <v>46321</v>
      </c>
      <c r="F89" t="inlineStr">
        <is>
          <t>VÄSTRA GÖTALANDS LÄN</t>
        </is>
      </c>
      <c r="G89" t="inlineStr">
        <is>
          <t>MUNKEDAL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46167</v>
      </c>
      <c r="E90" s="1" t="n">
        <v>46321</v>
      </c>
      <c r="F90" t="inlineStr">
        <is>
          <t>VÄSTRA GÖTALANDS LÄN</t>
        </is>
      </c>
      <c r="G90" t="inlineStr">
        <is>
          <t>MUNKEDAL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46321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Naturvårdsverket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46321</v>
      </c>
      <c r="F92" t="inlineStr">
        <is>
          <t>VÄSTRA GÖTALANDS LÄN</t>
        </is>
      </c>
      <c r="G92" t="inlineStr">
        <is>
          <t>MUNKEDAL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46321</v>
      </c>
      <c r="F93" t="inlineStr">
        <is>
          <t>VÄSTRA GÖTALANDS LÄN</t>
        </is>
      </c>
      <c r="G93" t="inlineStr">
        <is>
          <t>MUNKEDAL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46321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Kyrkan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46321</v>
      </c>
      <c r="F95" t="inlineStr">
        <is>
          <t>VÄSTRA GÖTALANDS LÄN</t>
        </is>
      </c>
      <c r="G95" t="inlineStr">
        <is>
          <t>MUNKEDAL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46321</v>
      </c>
      <c r="F96" t="inlineStr">
        <is>
          <t>VÄSTRA GÖTALANDS LÄN</t>
        </is>
      </c>
      <c r="G96" t="inlineStr">
        <is>
          <t>MUNKEDAL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46321</v>
      </c>
      <c r="F97" t="inlineStr">
        <is>
          <t>VÄSTRA GÖTALANDS LÄN</t>
        </is>
      </c>
      <c r="G97" t="inlineStr">
        <is>
          <t>MUNKEDAL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46321</v>
      </c>
      <c r="F98" t="inlineStr">
        <is>
          <t>VÄSTRA GÖTALANDS LÄN</t>
        </is>
      </c>
      <c r="G98" t="inlineStr">
        <is>
          <t>MUNKEDAL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53424-2023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46321</v>
      </c>
      <c r="F99" t="inlineStr">
        <is>
          <t>VÄSTRA GÖTALANDS LÄN</t>
        </is>
      </c>
      <c r="G99" t="inlineStr">
        <is>
          <t>MUNKEDAL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46321</v>
      </c>
      <c r="F100" t="inlineStr">
        <is>
          <t>VÄSTRA GÖTALANDS LÄN</t>
        </is>
      </c>
      <c r="G100" t="inlineStr">
        <is>
          <t>MUNKEDAL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53425-2023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46321</v>
      </c>
      <c r="F101" t="inlineStr">
        <is>
          <t>VÄSTRA GÖTALANDS LÄN</t>
        </is>
      </c>
      <c r="G101" t="inlineStr">
        <is>
          <t>MUNKEDAL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46321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46321</v>
      </c>
      <c r="F103" t="inlineStr">
        <is>
          <t>VÄSTRA GÖTALANDS LÄN</t>
        </is>
      </c>
      <c r="G103" t="inlineStr">
        <is>
          <t>MUNKEDAL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46321</v>
      </c>
      <c r="F104" t="inlineStr">
        <is>
          <t>VÄSTRA GÖTALANDS LÄN</t>
        </is>
      </c>
      <c r="G104" t="inlineStr">
        <is>
          <t>MUNKEDAL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45630</v>
      </c>
      <c r="E105" s="1" t="n">
        <v>46321</v>
      </c>
      <c r="F105" t="inlineStr">
        <is>
          <t>VÄSTRA GÖTALANDS LÄN</t>
        </is>
      </c>
      <c r="G105" t="inlineStr">
        <is>
          <t>MUNKEDAL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45630</v>
      </c>
      <c r="E106" s="1" t="n">
        <v>46321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46321</v>
      </c>
      <c r="F107" t="inlineStr">
        <is>
          <t>VÄSTRA GÖTALANDS LÄN</t>
        </is>
      </c>
      <c r="G107" t="inlineStr">
        <is>
          <t>MUNKEDAL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57630-2024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45630</v>
      </c>
      <c r="E108" s="1" t="n">
        <v>46321</v>
      </c>
      <c r="F108" t="inlineStr">
        <is>
          <t>VÄSTRA GÖTALANDS LÄN</t>
        </is>
      </c>
      <c r="G108" t="inlineStr">
        <is>
          <t>MUNKEDAL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44672</v>
      </c>
      <c r="E109" s="1" t="n">
        <v>46321</v>
      </c>
      <c r="F109" t="inlineStr">
        <is>
          <t>VÄSTRA GÖTALANDS LÄN</t>
        </is>
      </c>
      <c r="G109" t="inlineStr">
        <is>
          <t>MUNKEDAL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44904</v>
      </c>
      <c r="E110" s="1" t="n">
        <v>46321</v>
      </c>
      <c r="F110" t="inlineStr">
        <is>
          <t>VÄSTRA GÖTALANDS LÄN</t>
        </is>
      </c>
      <c r="G110" t="inlineStr">
        <is>
          <t>MUNKEDAL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45819</v>
      </c>
      <c r="E111" s="1" t="n">
        <v>46321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46321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44946</v>
      </c>
      <c r="E113" s="1" t="n">
        <v>46321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61695-2023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46321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44747</v>
      </c>
      <c r="E115" s="1" t="n">
        <v>46321</v>
      </c>
      <c r="F115" t="inlineStr">
        <is>
          <t>VÄSTRA GÖTALANDS LÄN</t>
        </is>
      </c>
      <c r="G115" t="inlineStr">
        <is>
          <t>MUNKEDAL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46321</v>
      </c>
      <c r="F116" t="inlineStr">
        <is>
          <t>VÄSTRA GÖTALANDS LÄN</t>
        </is>
      </c>
      <c r="G116" t="inlineStr">
        <is>
          <t>MUNKEDAL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45488</v>
      </c>
      <c r="E117" s="1" t="n">
        <v>46321</v>
      </c>
      <c r="F117" t="inlineStr">
        <is>
          <t>VÄSTRA GÖTALANDS LÄN</t>
        </is>
      </c>
      <c r="G117" t="inlineStr">
        <is>
          <t>MUNKEDAL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46171</v>
      </c>
      <c r="E118" s="1" t="n">
        <v>46321</v>
      </c>
      <c r="F118" t="inlineStr">
        <is>
          <t>VÄSTRA GÖTALANDS LÄN</t>
        </is>
      </c>
      <c r="G118" t="inlineStr">
        <is>
          <t>MUNKEDAL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46321</v>
      </c>
      <c r="F119" t="inlineStr">
        <is>
          <t>VÄSTRA GÖTALANDS LÄN</t>
        </is>
      </c>
      <c r="G119" t="inlineStr">
        <is>
          <t>MUNKEDAL</t>
        </is>
      </c>
      <c r="I119" t="n">
        <v>20.2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46321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45317</v>
      </c>
      <c r="E121" s="1" t="n">
        <v>46321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45296</v>
      </c>
      <c r="E122" s="1" t="n">
        <v>46321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Kyrkan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45755</v>
      </c>
      <c r="E123" s="1" t="n">
        <v>46321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46321</v>
      </c>
      <c r="F124" t="inlineStr">
        <is>
          <t>VÄSTRA GÖTALANDS LÄN</t>
        </is>
      </c>
      <c r="G124" t="inlineStr">
        <is>
          <t>MUNKEDAL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46321</v>
      </c>
      <c r="F125" t="inlineStr">
        <is>
          <t>VÄSTRA GÖTALANDS LÄN</t>
        </is>
      </c>
      <c r="G125" t="inlineStr">
        <is>
          <t>MUNKEDAL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9021-2024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46321</v>
      </c>
      <c r="F126" t="inlineStr">
        <is>
          <t>VÄSTRA GÖTALANDS LÄN</t>
        </is>
      </c>
      <c r="G126" t="inlineStr">
        <is>
          <t>MUNKEDAL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46321</v>
      </c>
      <c r="F127" t="inlineStr">
        <is>
          <t>VÄSTRA GÖTALANDS LÄN</t>
        </is>
      </c>
      <c r="G127" t="inlineStr">
        <is>
          <t>MUNKEDAL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45488</v>
      </c>
      <c r="E128" s="1" t="n">
        <v>46321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45540</v>
      </c>
      <c r="E129" s="1" t="n">
        <v>46321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46321</v>
      </c>
      <c r="F130" t="inlineStr">
        <is>
          <t>VÄSTRA GÖTALANDS LÄN</t>
        </is>
      </c>
      <c r="G130" t="inlineStr">
        <is>
          <t>MUNKEDAL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45761</v>
      </c>
      <c r="E131" s="1" t="n">
        <v>46321</v>
      </c>
      <c r="F131" t="inlineStr">
        <is>
          <t>VÄSTRA GÖTALANDS LÄN</t>
        </is>
      </c>
      <c r="G131" t="inlineStr">
        <is>
          <t>MUNKEDAL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46321</v>
      </c>
      <c r="F132" t="inlineStr">
        <is>
          <t>VÄSTRA GÖTALANDS LÄN</t>
        </is>
      </c>
      <c r="G132" t="inlineStr">
        <is>
          <t>MUNKEDAL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45667</v>
      </c>
      <c r="E133" s="1" t="n">
        <v>46321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27532-2026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46321</v>
      </c>
      <c r="F134" t="inlineStr">
        <is>
          <t>VÄSTRA GÖTALANDS LÄN</t>
        </is>
      </c>
      <c r="G134" t="inlineStr">
        <is>
          <t>MUNKEDAL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46321</v>
      </c>
      <c r="F135" t="inlineStr">
        <is>
          <t>VÄSTRA GÖTALANDS LÄN</t>
        </is>
      </c>
      <c r="G135" t="inlineStr">
        <is>
          <t>MUNKEDAL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44993</v>
      </c>
      <c r="E136" s="1" t="n">
        <v>46321</v>
      </c>
      <c r="F136" t="inlineStr">
        <is>
          <t>VÄSTRA GÖTALANDS LÄN</t>
        </is>
      </c>
      <c r="G136" t="inlineStr">
        <is>
          <t>MUNKEDAL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46321</v>
      </c>
      <c r="F137" t="inlineStr">
        <is>
          <t>VÄSTRA GÖTALANDS LÄN</t>
        </is>
      </c>
      <c r="G137" t="inlineStr">
        <is>
          <t>MUNKEDAL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44630</v>
      </c>
      <c r="E138" s="1" t="n">
        <v>46321</v>
      </c>
      <c r="F138" t="inlineStr">
        <is>
          <t>VÄSTRA GÖTALANDS LÄN</t>
        </is>
      </c>
      <c r="G138" t="inlineStr">
        <is>
          <t>MUNKEDAL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46202</v>
      </c>
      <c r="E139" s="1" t="n">
        <v>46321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45620</v>
      </c>
      <c r="E140" s="1" t="n">
        <v>46321</v>
      </c>
      <c r="F140" t="inlineStr">
        <is>
          <t>VÄSTRA GÖTALANDS LÄN</t>
        </is>
      </c>
      <c r="G140" t="inlineStr">
        <is>
          <t>MUNKEDAL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46321</v>
      </c>
      <c r="F141" t="inlineStr">
        <is>
          <t>VÄSTRA GÖTALANDS LÄN</t>
        </is>
      </c>
      <c r="G141" t="inlineStr">
        <is>
          <t>MUNKEDAL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46203</v>
      </c>
      <c r="E142" s="1" t="n">
        <v>46321</v>
      </c>
      <c r="F142" t="inlineStr">
        <is>
          <t>VÄSTRA GÖTALANDS LÄN</t>
        </is>
      </c>
      <c r="G142" t="inlineStr">
        <is>
          <t>MUNKEDAL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45674</v>
      </c>
      <c r="E143" s="1" t="n">
        <v>46321</v>
      </c>
      <c r="F143" t="inlineStr">
        <is>
          <t>VÄSTRA GÖTALANDS LÄN</t>
        </is>
      </c>
      <c r="G143" t="inlineStr">
        <is>
          <t>MUNKEDAL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45618</v>
      </c>
      <c r="E144" s="1" t="n">
        <v>46321</v>
      </c>
      <c r="F144" t="inlineStr">
        <is>
          <t>VÄSTRA GÖTALANDS LÄN</t>
        </is>
      </c>
      <c r="G144" t="inlineStr">
        <is>
          <t>MUNKEDAL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46321</v>
      </c>
      <c r="F145" t="inlineStr">
        <is>
          <t>VÄSTRA GÖTALANDS LÄN</t>
        </is>
      </c>
      <c r="G145" t="inlineStr">
        <is>
          <t>MUNKEDAL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44920</v>
      </c>
      <c r="E146" s="1" t="n">
        <v>46321</v>
      </c>
      <c r="F146" t="inlineStr">
        <is>
          <t>VÄSTRA GÖTALANDS LÄN</t>
        </is>
      </c>
      <c r="G146" t="inlineStr">
        <is>
          <t>MUNKEDAL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62101-2022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44920</v>
      </c>
      <c r="E147" s="1" t="n">
        <v>46321</v>
      </c>
      <c r="F147" t="inlineStr">
        <is>
          <t>VÄSTRA GÖTALANDS LÄN</t>
        </is>
      </c>
      <c r="G147" t="inlineStr">
        <is>
          <t>MUNKEDAL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46321</v>
      </c>
      <c r="F148" t="inlineStr">
        <is>
          <t>VÄSTRA GÖTALANDS LÄN</t>
        </is>
      </c>
      <c r="G148" t="inlineStr">
        <is>
          <t>MUNKEDAL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45971</v>
      </c>
      <c r="E149" s="1" t="n">
        <v>46321</v>
      </c>
      <c r="F149" t="inlineStr">
        <is>
          <t>VÄSTRA GÖTALANDS LÄN</t>
        </is>
      </c>
      <c r="G149" t="inlineStr">
        <is>
          <t>MUNKEDAL</t>
        </is>
      </c>
      <c r="I149" t="n">
        <v>16.3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46321</v>
      </c>
      <c r="F150" t="inlineStr">
        <is>
          <t>VÄSTRA GÖTALANDS LÄN</t>
        </is>
      </c>
      <c r="G150" t="inlineStr">
        <is>
          <t>MUNKEDAL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46209</v>
      </c>
      <c r="E151" s="1" t="n">
        <v>46321</v>
      </c>
      <c r="F151" t="inlineStr">
        <is>
          <t>VÄSTRA GÖTALANDS LÄN</t>
        </is>
      </c>
      <c r="G151" t="inlineStr">
        <is>
          <t>MUNKEDAL</t>
        </is>
      </c>
      <c r="H151" t="inlineStr">
        <is>
          <t>Övriga Aktiebolag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46209</v>
      </c>
      <c r="E152" s="1" t="n">
        <v>46321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46209</v>
      </c>
      <c r="E153" s="1" t="n">
        <v>46321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16.7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46209</v>
      </c>
      <c r="E154" s="1" t="n">
        <v>46321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46321</v>
      </c>
      <c r="F155" t="inlineStr">
        <is>
          <t>VÄSTRA GÖTALANDS LÄN</t>
        </is>
      </c>
      <c r="G155" t="inlineStr">
        <is>
          <t>MUNKEDAL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45418</v>
      </c>
      <c r="E156" s="1" t="n">
        <v>46321</v>
      </c>
      <c r="F156" t="inlineStr">
        <is>
          <t>VÄSTRA GÖTALANDS LÄN</t>
        </is>
      </c>
      <c r="G156" t="inlineStr">
        <is>
          <t>MUNKEDAL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45306</v>
      </c>
      <c r="E157" s="1" t="n">
        <v>46321</v>
      </c>
      <c r="F157" t="inlineStr">
        <is>
          <t>VÄSTRA GÖTALANDS LÄN</t>
        </is>
      </c>
      <c r="G157" t="inlineStr">
        <is>
          <t>MUNKEDAL</t>
        </is>
      </c>
      <c r="I157" t="n">
        <v>25.2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46321</v>
      </c>
      <c r="F158" t="inlineStr">
        <is>
          <t>VÄSTRA GÖTALANDS LÄN</t>
        </is>
      </c>
      <c r="G158" t="inlineStr">
        <is>
          <t>MUNKEDAL</t>
        </is>
      </c>
      <c r="H158" t="inlineStr">
        <is>
          <t>Kommuner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46321</v>
      </c>
      <c r="F159" t="inlineStr">
        <is>
          <t>VÄSTRA GÖTALANDS LÄN</t>
        </is>
      </c>
      <c r="G159" t="inlineStr">
        <is>
          <t>MUNKEDAL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46321</v>
      </c>
      <c r="F160" t="inlineStr">
        <is>
          <t>VÄSTRA GÖTALANDS LÄN</t>
        </is>
      </c>
      <c r="G160" t="inlineStr">
        <is>
          <t>MUNKEDAL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46321</v>
      </c>
      <c r="F161" t="inlineStr">
        <is>
          <t>VÄSTRA GÖTALANDS LÄN</t>
        </is>
      </c>
      <c r="G161" t="inlineStr">
        <is>
          <t>MUNKEDAL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46321</v>
      </c>
      <c r="F162" t="inlineStr">
        <is>
          <t>VÄSTRA GÖTALANDS LÄN</t>
        </is>
      </c>
      <c r="G162" t="inlineStr">
        <is>
          <t>MUNKEDAL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46321</v>
      </c>
      <c r="F163" t="inlineStr">
        <is>
          <t>VÄSTRA GÖTALANDS LÄN</t>
        </is>
      </c>
      <c r="G163" t="inlineStr">
        <is>
          <t>MUNKEDAL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46321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46321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12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46000</v>
      </c>
      <c r="E166" s="1" t="n">
        <v>46321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44698</v>
      </c>
      <c r="E167" s="1" t="n">
        <v>46321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46321</v>
      </c>
      <c r="F168" t="inlineStr">
        <is>
          <t>VÄSTRA GÖTALANDS LÄN</t>
        </is>
      </c>
      <c r="G168" t="inlineStr">
        <is>
          <t>MUNKEDAL</t>
        </is>
      </c>
      <c r="I168" t="n">
        <v>17.5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46000</v>
      </c>
      <c r="E169" s="1" t="n">
        <v>46321</v>
      </c>
      <c r="F169" t="inlineStr">
        <is>
          <t>VÄSTRA GÖTALANDS LÄN</t>
        </is>
      </c>
      <c r="G169" t="inlineStr">
        <is>
          <t>MUNKEDAL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61276-2025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46000</v>
      </c>
      <c r="E170" s="1" t="n">
        <v>46321</v>
      </c>
      <c r="F170" t="inlineStr">
        <is>
          <t>VÄSTRA GÖTALANDS LÄN</t>
        </is>
      </c>
      <c r="G170" t="inlineStr">
        <is>
          <t>MUNKEDAL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21063-2025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45777</v>
      </c>
      <c r="E171" s="1" t="n">
        <v>46321</v>
      </c>
      <c r="F171" t="inlineStr">
        <is>
          <t>VÄSTRA GÖTALANDS LÄN</t>
        </is>
      </c>
      <c r="G171" t="inlineStr">
        <is>
          <t>MUNKEDAL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46321</v>
      </c>
      <c r="F172" t="inlineStr">
        <is>
          <t>VÄSTRA GÖTALANDS LÄN</t>
        </is>
      </c>
      <c r="G172" t="inlineStr">
        <is>
          <t>MUNKEDAL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46321</v>
      </c>
      <c r="F173" t="inlineStr">
        <is>
          <t>VÄSTRA GÖTALANDS LÄN</t>
        </is>
      </c>
      <c r="G173" t="inlineStr">
        <is>
          <t>MUNKEDAL</t>
        </is>
      </c>
      <c r="H173" t="inlineStr">
        <is>
          <t>Övriga Aktiebolag</t>
        </is>
      </c>
      <c r="I173" t="n">
        <v>19.1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45778</v>
      </c>
      <c r="E174" s="1" t="n">
        <v>46321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46321</v>
      </c>
      <c r="F175" t="inlineStr">
        <is>
          <t>VÄSTRA GÖTALANDS LÄN</t>
        </is>
      </c>
      <c r="G175" t="inlineStr">
        <is>
          <t>MUNKEDAL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46321</v>
      </c>
      <c r="F176" t="inlineStr">
        <is>
          <t>VÄSTRA GÖTALANDS LÄN</t>
        </is>
      </c>
      <c r="G176" t="inlineStr">
        <is>
          <t>MUNKEDAL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46321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46321</v>
      </c>
      <c r="F178" t="inlineStr">
        <is>
          <t>VÄSTRA GÖTALANDS LÄN</t>
        </is>
      </c>
      <c r="G178" t="inlineStr">
        <is>
          <t>MUNKEDAL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46321</v>
      </c>
      <c r="F179" t="inlineStr">
        <is>
          <t>VÄSTRA GÖTALANDS LÄN</t>
        </is>
      </c>
      <c r="G179" t="inlineStr">
        <is>
          <t>MUNKEDAL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46279</v>
      </c>
      <c r="E180" s="1" t="n">
        <v>46321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46321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46022</v>
      </c>
      <c r="E182" s="1" t="n">
        <v>46321</v>
      </c>
      <c r="F182" t="inlineStr">
        <is>
          <t>VÄSTRA GÖTALANDS LÄN</t>
        </is>
      </c>
      <c r="G182" t="inlineStr">
        <is>
          <t>MUNKEDAL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46022</v>
      </c>
      <c r="E183" s="1" t="n">
        <v>46321</v>
      </c>
      <c r="F183" t="inlineStr">
        <is>
          <t>VÄSTRA GÖTALANDS LÄN</t>
        </is>
      </c>
      <c r="G183" t="inlineStr">
        <is>
          <t>MUNKEDAL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46321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46321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46321</v>
      </c>
      <c r="F186" t="inlineStr">
        <is>
          <t>VÄSTRA GÖTALANDS LÄN</t>
        </is>
      </c>
      <c r="G186" t="inlineStr">
        <is>
          <t>MUNKEDAL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46321</v>
      </c>
      <c r="F187" t="inlineStr">
        <is>
          <t>VÄSTRA GÖTALANDS LÄN</t>
        </is>
      </c>
      <c r="G187" t="inlineStr">
        <is>
          <t>MUNKEDAL</t>
        </is>
      </c>
      <c r="I187" t="n">
        <v>12.7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45408</v>
      </c>
      <c r="E188" s="1" t="n">
        <v>46321</v>
      </c>
      <c r="F188" t="inlineStr">
        <is>
          <t>VÄSTRA GÖTALANDS LÄN</t>
        </is>
      </c>
      <c r="G188" t="inlineStr">
        <is>
          <t>MUNKEDAL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46321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46321</v>
      </c>
      <c r="F190" t="inlineStr">
        <is>
          <t>VÄSTRA GÖTALANDS LÄN</t>
        </is>
      </c>
      <c r="G190" t="inlineStr">
        <is>
          <t>MUNKEDAL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45714</v>
      </c>
      <c r="E191" s="1" t="n">
        <v>46321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46321</v>
      </c>
      <c r="F192" t="inlineStr">
        <is>
          <t>VÄSTRA GÖTALANDS LÄN</t>
        </is>
      </c>
      <c r="G192" t="inlineStr">
        <is>
          <t>MUNKEDAL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45696</v>
      </c>
      <c r="E193" s="1" t="n">
        <v>46321</v>
      </c>
      <c r="F193" t="inlineStr">
        <is>
          <t>VÄSTRA GÖTALANDS LÄN</t>
        </is>
      </c>
      <c r="G193" t="inlineStr">
        <is>
          <t>MUNKEDAL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46321</v>
      </c>
      <c r="F194" t="inlineStr">
        <is>
          <t>VÄSTRA GÖTALANDS LÄN</t>
        </is>
      </c>
      <c r="G194" t="inlineStr">
        <is>
          <t>MUNKEDAL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46321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45820</v>
      </c>
      <c r="E196" s="1" t="n">
        <v>46321</v>
      </c>
      <c r="F196" t="inlineStr">
        <is>
          <t>VÄSTRA GÖTALANDS LÄN</t>
        </is>
      </c>
      <c r="G196" t="inlineStr">
        <is>
          <t>MUNKEDAL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46321</v>
      </c>
      <c r="F197" t="inlineStr">
        <is>
          <t>VÄSTRA GÖTALANDS LÄN</t>
        </is>
      </c>
      <c r="G197" t="inlineStr">
        <is>
          <t>MUNKEDAL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46321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Naturvårdsverket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46321</v>
      </c>
      <c r="F199" t="inlineStr">
        <is>
          <t>VÄSTRA GÖTALANDS LÄN</t>
        </is>
      </c>
      <c r="G199" t="inlineStr">
        <is>
          <t>MUNKEDAL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46321</v>
      </c>
      <c r="F200" t="inlineStr">
        <is>
          <t>VÄSTRA GÖTALANDS LÄN</t>
        </is>
      </c>
      <c r="G200" t="inlineStr">
        <is>
          <t>MUNKEDAL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45154</v>
      </c>
      <c r="E201" s="1" t="n">
        <v>46321</v>
      </c>
      <c r="F201" t="inlineStr">
        <is>
          <t>VÄSTRA GÖTALANDS LÄN</t>
        </is>
      </c>
      <c r="G201" t="inlineStr">
        <is>
          <t>MUNKEDAL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46190</v>
      </c>
      <c r="E202" s="1" t="n">
        <v>46321</v>
      </c>
      <c r="F202" t="inlineStr">
        <is>
          <t>VÄSTRA GÖTALANDS LÄN</t>
        </is>
      </c>
      <c r="G202" t="inlineStr">
        <is>
          <t>MUNKEDAL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46321</v>
      </c>
      <c r="F203" t="inlineStr">
        <is>
          <t>VÄSTRA GÖTALANDS LÄN</t>
        </is>
      </c>
      <c r="G203" t="inlineStr">
        <is>
          <t>MUNKEDAL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46321</v>
      </c>
      <c r="F204" t="inlineStr">
        <is>
          <t>VÄSTRA GÖTALANDS LÄN</t>
        </is>
      </c>
      <c r="G204" t="inlineStr">
        <is>
          <t>MUNKEDAL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46321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44866</v>
      </c>
      <c r="E206" s="1" t="n">
        <v>46321</v>
      </c>
      <c r="F206" t="inlineStr">
        <is>
          <t>VÄSTRA GÖTALANDS LÄN</t>
        </is>
      </c>
      <c r="G206" t="inlineStr">
        <is>
          <t>MUNKEDAL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44482-2023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46321</v>
      </c>
      <c r="F207" t="inlineStr">
        <is>
          <t>VÄSTRA GÖTALANDS LÄN</t>
        </is>
      </c>
      <c r="G207" t="inlineStr">
        <is>
          <t>MUNKEDAL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46321</v>
      </c>
      <c r="F208" t="inlineStr">
        <is>
          <t>VÄSTRA GÖTALANDS LÄN</t>
        </is>
      </c>
      <c r="G208" t="inlineStr">
        <is>
          <t>MUNKEDAL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46047</v>
      </c>
      <c r="E209" s="1" t="n">
        <v>46321</v>
      </c>
      <c r="F209" t="inlineStr">
        <is>
          <t>VÄSTRA GÖTALANDS LÄN</t>
        </is>
      </c>
      <c r="G209" t="inlineStr">
        <is>
          <t>MUNKEDAL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45588</v>
      </c>
      <c r="E210" s="1" t="n">
        <v>46321</v>
      </c>
      <c r="F210" t="inlineStr">
        <is>
          <t>VÄSTRA GÖTALANDS LÄN</t>
        </is>
      </c>
      <c r="G210" t="inlineStr">
        <is>
          <t>MUNKEDAL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46321</v>
      </c>
      <c r="F211" t="inlineStr">
        <is>
          <t>VÄSTRA GÖTALANDS LÄN</t>
        </is>
      </c>
      <c r="G211" t="inlineStr">
        <is>
          <t>MUNKEDAL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46321</v>
      </c>
      <c r="F212" t="inlineStr">
        <is>
          <t>VÄSTRA GÖTALANDS LÄN</t>
        </is>
      </c>
      <c r="G212" t="inlineStr">
        <is>
          <t>MUNKEDAL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46321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46321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6685-2026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46321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Aktiebolag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46321</v>
      </c>
      <c r="F216" t="inlineStr">
        <is>
          <t>VÄSTRA GÖTALANDS LÄN</t>
        </is>
      </c>
      <c r="G216" t="inlineStr">
        <is>
          <t>MUNKEDAL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33428-2026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46247</v>
      </c>
      <c r="E217" s="1" t="n">
        <v>46321</v>
      </c>
      <c r="F217" t="inlineStr">
        <is>
          <t>VÄSTRA GÖTALANDS LÄN</t>
        </is>
      </c>
      <c r="G217" t="inlineStr">
        <is>
          <t>MUNKEDAL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46247</v>
      </c>
      <c r="E218" s="1" t="n">
        <v>46321</v>
      </c>
      <c r="F218" t="inlineStr">
        <is>
          <t>VÄSTRA GÖTALANDS LÄN</t>
        </is>
      </c>
      <c r="G218" t="inlineStr">
        <is>
          <t>MUNKEDAL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46321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46321</v>
      </c>
      <c r="F220" t="inlineStr">
        <is>
          <t>VÄSTRA GÖTALANDS LÄN</t>
        </is>
      </c>
      <c r="G220" t="inlineStr">
        <is>
          <t>MUNKEDAL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19631-2022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44694</v>
      </c>
      <c r="E221" s="1" t="n">
        <v>46321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46321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Kyrkan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45557</v>
      </c>
      <c r="E223" s="1" t="n">
        <v>46321</v>
      </c>
      <c r="F223" t="inlineStr">
        <is>
          <t>VÄSTRA GÖTALANDS LÄN</t>
        </is>
      </c>
      <c r="G223" t="inlineStr">
        <is>
          <t>MUNKEDAL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7656-2026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46321</v>
      </c>
      <c r="F224" t="inlineStr">
        <is>
          <t>VÄSTRA GÖTALANDS LÄN</t>
        </is>
      </c>
      <c r="G224" t="inlineStr">
        <is>
          <t>MUNKEDAL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7385-2026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46321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46321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8257-2026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46064</v>
      </c>
      <c r="E227" s="1" t="n">
        <v>46321</v>
      </c>
      <c r="F227" t="inlineStr">
        <is>
          <t>VÄSTRA GÖTALANDS LÄN</t>
        </is>
      </c>
      <c r="G227" t="inlineStr">
        <is>
          <t>MUNKEDAL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46294</v>
      </c>
      <c r="E228" s="1" t="n">
        <v>46321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10096-2026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46321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46294</v>
      </c>
      <c r="E230" s="1" t="n">
        <v>46321</v>
      </c>
      <c r="F230" t="inlineStr">
        <is>
          <t>VÄSTRA GÖTALANDS LÄN</t>
        </is>
      </c>
      <c r="G230" t="inlineStr">
        <is>
          <t>MUNKEDAL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46253</v>
      </c>
      <c r="E231" s="1" t="n">
        <v>46321</v>
      </c>
      <c r="F231" t="inlineStr">
        <is>
          <t>VÄSTRA GÖTALANDS LÄN</t>
        </is>
      </c>
      <c r="G231" t="inlineStr">
        <is>
          <t>MUNKEDAL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46294</v>
      </c>
      <c r="E232" s="1" t="n">
        <v>46321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46321</v>
      </c>
      <c r="F233" t="inlineStr">
        <is>
          <t>VÄSTRA GÖTALANDS LÄN</t>
        </is>
      </c>
      <c r="G233" t="inlineStr">
        <is>
          <t>MUNKEDAL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46321</v>
      </c>
      <c r="F234" t="inlineStr">
        <is>
          <t>VÄSTRA GÖTALANDS LÄN</t>
        </is>
      </c>
      <c r="G234" t="inlineStr">
        <is>
          <t>MUNKEDAL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46078</v>
      </c>
      <c r="E235" s="1" t="n">
        <v>46321</v>
      </c>
      <c r="F235" t="inlineStr">
        <is>
          <t>VÄSTRA GÖTALANDS LÄN</t>
        </is>
      </c>
      <c r="G235" t="inlineStr">
        <is>
          <t>MUNKEDAL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46254</v>
      </c>
      <c r="E236" s="1" t="n">
        <v>46321</v>
      </c>
      <c r="F236" t="inlineStr">
        <is>
          <t>VÄSTRA GÖTALANDS LÄN</t>
        </is>
      </c>
      <c r="G236" t="inlineStr">
        <is>
          <t>MUNKEDAL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34288-2026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46253</v>
      </c>
      <c r="E237" s="1" t="n">
        <v>46321</v>
      </c>
      <c r="F237" t="inlineStr">
        <is>
          <t>VÄSTRA GÖTALANDS LÄN</t>
        </is>
      </c>
      <c r="G237" t="inlineStr">
        <is>
          <t>MUNKEDAL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46321</v>
      </c>
      <c r="F238" t="inlineStr">
        <is>
          <t>VÄSTRA GÖTALANDS LÄN</t>
        </is>
      </c>
      <c r="G238" t="inlineStr">
        <is>
          <t>MUNKEDAL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46321</v>
      </c>
      <c r="F239" t="inlineStr">
        <is>
          <t>VÄSTRA GÖTALANDS LÄN</t>
        </is>
      </c>
      <c r="G239" t="inlineStr">
        <is>
          <t>MUNKEDAL</t>
        </is>
      </c>
      <c r="I239" t="n">
        <v>11.6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46321</v>
      </c>
      <c r="F240" t="inlineStr">
        <is>
          <t>VÄSTRA GÖTALANDS LÄN</t>
        </is>
      </c>
      <c r="G240" t="inlineStr">
        <is>
          <t>MUNKEDAL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46321</v>
      </c>
      <c r="F241" t="inlineStr">
        <is>
          <t>VÄSTRA GÖTALANDS LÄN</t>
        </is>
      </c>
      <c r="G241" t="inlineStr">
        <is>
          <t>MUNKEDAL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46295</v>
      </c>
      <c r="E242" s="1" t="n">
        <v>46321</v>
      </c>
      <c r="F242" t="inlineStr">
        <is>
          <t>VÄSTRA GÖTALANDS LÄN</t>
        </is>
      </c>
      <c r="G242" t="inlineStr">
        <is>
          <t>MUNKEDAL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46321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45455</v>
      </c>
      <c r="E244" s="1" t="n">
        <v>46321</v>
      </c>
      <c r="F244" t="inlineStr">
        <is>
          <t>VÄSTRA GÖTALANDS LÄN</t>
        </is>
      </c>
      <c r="G244" t="inlineStr">
        <is>
          <t>MUNKEDAL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46321</v>
      </c>
      <c r="F245" t="inlineStr">
        <is>
          <t>VÄSTRA GÖTALANDS LÄN</t>
        </is>
      </c>
      <c r="G245" t="inlineStr">
        <is>
          <t>MUNKEDAL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46321</v>
      </c>
      <c r="F246" t="inlineStr">
        <is>
          <t>VÄSTRA GÖTALANDS LÄN</t>
        </is>
      </c>
      <c r="G246" t="inlineStr">
        <is>
          <t>MUNKEDAL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46321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46321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46321</v>
      </c>
      <c r="F249" t="inlineStr">
        <is>
          <t>VÄSTRA GÖTALANDS LÄN</t>
        </is>
      </c>
      <c r="G249" t="inlineStr">
        <is>
          <t>MUNKEDAL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46321</v>
      </c>
      <c r="F250" t="inlineStr">
        <is>
          <t>VÄSTRA GÖTALANDS LÄN</t>
        </is>
      </c>
      <c r="G250" t="inlineStr">
        <is>
          <t>MUNKEDAL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45845</v>
      </c>
      <c r="E251" s="1" t="n">
        <v>46321</v>
      </c>
      <c r="F251" t="inlineStr">
        <is>
          <t>VÄSTRA GÖTALANDS LÄN</t>
        </is>
      </c>
      <c r="G251" t="inlineStr">
        <is>
          <t>MUNKEDAL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46321</v>
      </c>
      <c r="F252" t="inlineStr">
        <is>
          <t>VÄSTRA GÖTALANDS LÄN</t>
        </is>
      </c>
      <c r="G252" t="inlineStr">
        <is>
          <t>MUNKEDAL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46321</v>
      </c>
      <c r="F253" t="inlineStr">
        <is>
          <t>VÄSTRA GÖTALANDS LÄN</t>
        </is>
      </c>
      <c r="G253" t="inlineStr">
        <is>
          <t>MUNKEDAL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46321</v>
      </c>
      <c r="F254" t="inlineStr">
        <is>
          <t>VÄSTRA GÖTALANDS LÄN</t>
        </is>
      </c>
      <c r="G254" t="inlineStr">
        <is>
          <t>MUNKEDAL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46321</v>
      </c>
      <c r="F255" t="inlineStr">
        <is>
          <t>VÄSTRA GÖTALANDS LÄN</t>
        </is>
      </c>
      <c r="G255" t="inlineStr">
        <is>
          <t>MUNKEDAL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46321</v>
      </c>
      <c r="F256" t="inlineStr">
        <is>
          <t>VÄSTRA GÖTALANDS LÄN</t>
        </is>
      </c>
      <c r="G256" t="inlineStr">
        <is>
          <t>MUNKEDAL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46321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46321</v>
      </c>
      <c r="F258" t="inlineStr">
        <is>
          <t>VÄSTRA GÖTALANDS LÄN</t>
        </is>
      </c>
      <c r="G258" t="inlineStr">
        <is>
          <t>MUNKEDAL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16405-2026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46321</v>
      </c>
      <c r="F259" t="inlineStr">
        <is>
          <t>VÄSTRA GÖTALANDS LÄN</t>
        </is>
      </c>
      <c r="G259" t="inlineStr">
        <is>
          <t>MUNKEDAL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46111</v>
      </c>
      <c r="E260" s="1" t="n">
        <v>46321</v>
      </c>
      <c r="F260" t="inlineStr">
        <is>
          <t>VÄSTRA GÖTALANDS LÄN</t>
        </is>
      </c>
      <c r="G260" t="inlineStr">
        <is>
          <t>MUNKEDAL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46321</v>
      </c>
      <c r="F261" t="inlineStr">
        <is>
          <t>VÄSTRA GÖTALANDS LÄN</t>
        </is>
      </c>
      <c r="G261" t="inlineStr">
        <is>
          <t>MUNKEDAL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46321</v>
      </c>
      <c r="F262" t="inlineStr">
        <is>
          <t>VÄSTRA GÖTALANDS LÄN</t>
        </is>
      </c>
      <c r="G262" t="inlineStr">
        <is>
          <t>MUNKEDAL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45755</v>
      </c>
      <c r="E263" s="1" t="n">
        <v>46321</v>
      </c>
      <c r="F263" t="inlineStr">
        <is>
          <t>VÄSTRA GÖTALANDS LÄN</t>
        </is>
      </c>
      <c r="G263" t="inlineStr">
        <is>
          <t>MUNKEDAL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46321</v>
      </c>
      <c r="F264" t="inlineStr">
        <is>
          <t>VÄSTRA GÖTALANDS LÄN</t>
        </is>
      </c>
      <c r="G264" t="inlineStr">
        <is>
          <t>MUNKEDAL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46321</v>
      </c>
      <c r="F265" t="inlineStr">
        <is>
          <t>VÄSTRA GÖTALANDS LÄN</t>
        </is>
      </c>
      <c r="G265" t="inlineStr">
        <is>
          <t>MUNKEDAL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46297</v>
      </c>
      <c r="E266" s="1" t="n">
        <v>46321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46321</v>
      </c>
      <c r="F267" t="inlineStr">
        <is>
          <t>VÄSTRA GÖTALANDS LÄN</t>
        </is>
      </c>
      <c r="G267" t="inlineStr">
        <is>
          <t>MUNKEDAL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46303</v>
      </c>
      <c r="E268" s="1" t="n">
        <v>46321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46303</v>
      </c>
      <c r="E269" s="1" t="n">
        <v>46321</v>
      </c>
      <c r="F269" t="inlineStr">
        <is>
          <t>VÄSTRA GÖTALANDS LÄN</t>
        </is>
      </c>
      <c r="G269" t="inlineStr">
        <is>
          <t>MUNKEDAL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61584-2023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46321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Övriga Aktiebolag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45631</v>
      </c>
      <c r="E271" s="1" t="n">
        <v>46321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46303</v>
      </c>
      <c r="E272" s="1" t="n">
        <v>46321</v>
      </c>
      <c r="F272" t="inlineStr">
        <is>
          <t>VÄSTRA GÖTALANDS LÄN</t>
        </is>
      </c>
      <c r="G272" t="inlineStr">
        <is>
          <t>MUNKEDAL</t>
        </is>
      </c>
      <c r="I272" t="n">
        <v>9.5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45351</v>
      </c>
      <c r="E273" s="1" t="n">
        <v>46321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44672</v>
      </c>
      <c r="E274" s="1" t="n">
        <v>46321</v>
      </c>
      <c r="F274" t="inlineStr">
        <is>
          <t>VÄSTRA GÖTALANDS LÄN</t>
        </is>
      </c>
      <c r="G274" t="inlineStr">
        <is>
          <t>MUNKEDAL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46302</v>
      </c>
      <c r="E275" s="1" t="n">
        <v>46321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45484</v>
      </c>
      <c r="E276" s="1" t="n">
        <v>46321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46321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46308</v>
      </c>
      <c r="E278" s="1" t="n">
        <v>46321</v>
      </c>
      <c r="F278" t="inlineStr">
        <is>
          <t>VÄSTRA GÖTALANDS LÄN</t>
        </is>
      </c>
      <c r="G278" t="inlineStr">
        <is>
          <t>MUNKEDAL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46308</v>
      </c>
      <c r="E279" s="1" t="n">
        <v>46321</v>
      </c>
      <c r="F279" t="inlineStr">
        <is>
          <t>VÄSTRA GÖTALANDS LÄN</t>
        </is>
      </c>
      <c r="G279" t="inlineStr">
        <is>
          <t>MUNKEDAL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46321</v>
      </c>
      <c r="F280" t="inlineStr">
        <is>
          <t>VÄSTRA GÖTALANDS LÄN</t>
        </is>
      </c>
      <c r="G280" t="inlineStr">
        <is>
          <t>MUNKEDAL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46321</v>
      </c>
      <c r="F281" t="inlineStr">
        <is>
          <t>VÄSTRA GÖTALANDS LÄN</t>
        </is>
      </c>
      <c r="G281" t="inlineStr">
        <is>
          <t>MUNKEDAL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46131</v>
      </c>
      <c r="E282" s="1" t="n">
        <v>46321</v>
      </c>
      <c r="F282" t="inlineStr">
        <is>
          <t>VÄSTRA GÖTALANDS LÄN</t>
        </is>
      </c>
      <c r="G282" t="inlineStr">
        <is>
          <t>MUNKEDAL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45881</v>
      </c>
      <c r="E283" s="1" t="n">
        <v>46321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45378</v>
      </c>
      <c r="E284" s="1" t="n">
        <v>46321</v>
      </c>
      <c r="F284" t="inlineStr">
        <is>
          <t>VÄSTRA GÖTALANDS LÄN</t>
        </is>
      </c>
      <c r="G284" t="inlineStr">
        <is>
          <t>MUNKEDAL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24073-2024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45456</v>
      </c>
      <c r="E285" s="1" t="n">
        <v>46321</v>
      </c>
      <c r="F285" t="inlineStr">
        <is>
          <t>VÄSTRA GÖTALANDS LÄN</t>
        </is>
      </c>
      <c r="G285" t="inlineStr">
        <is>
          <t>MUNKEDAL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46321</v>
      </c>
      <c r="F286" t="inlineStr">
        <is>
          <t>VÄSTRA GÖTALANDS LÄN</t>
        </is>
      </c>
      <c r="G286" t="inlineStr">
        <is>
          <t>MUNKEDAL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45884</v>
      </c>
      <c r="E287" s="1" t="n">
        <v>46321</v>
      </c>
      <c r="F287" t="inlineStr">
        <is>
          <t>VÄSTRA GÖTALANDS LÄN</t>
        </is>
      </c>
      <c r="G287" t="inlineStr">
        <is>
          <t>MUNKEDAL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46321</v>
      </c>
      <c r="F288" t="inlineStr">
        <is>
          <t>VÄSTRA GÖTALANDS LÄN</t>
        </is>
      </c>
      <c r="G288" t="inlineStr">
        <is>
          <t>MUNKEDAL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46321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36113-2026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46267</v>
      </c>
      <c r="E290" s="1" t="n">
        <v>46321</v>
      </c>
      <c r="F290" t="inlineStr">
        <is>
          <t>VÄSTRA GÖTALANDS LÄN</t>
        </is>
      </c>
      <c r="G290" t="inlineStr">
        <is>
          <t>MUNKEDAL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46321</v>
      </c>
      <c r="F291" t="inlineStr">
        <is>
          <t>VÄSTRA GÖTALANDS LÄN</t>
        </is>
      </c>
      <c r="G291" t="inlineStr">
        <is>
          <t>MUNKEDAL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54866-2024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46321</v>
      </c>
      <c r="F292" t="inlineStr">
        <is>
          <t>VÄSTRA GÖTALANDS LÄN</t>
        </is>
      </c>
      <c r="G292" t="inlineStr">
        <is>
          <t>MUNKEDAL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46267</v>
      </c>
      <c r="E293" s="1" t="n">
        <v>46321</v>
      </c>
      <c r="F293" t="inlineStr">
        <is>
          <t>VÄSTRA GÖTALANDS LÄN</t>
        </is>
      </c>
      <c r="G293" t="inlineStr">
        <is>
          <t>MUNKEDAL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45874</v>
      </c>
      <c r="E294" s="1" t="n">
        <v>46321</v>
      </c>
      <c r="F294" t="inlineStr">
        <is>
          <t>VÄSTRA GÖTALANDS LÄN</t>
        </is>
      </c>
      <c r="G294" t="inlineStr">
        <is>
          <t>MUNKEDAL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46321</v>
      </c>
      <c r="F295" t="inlineStr">
        <is>
          <t>VÄSTRA GÖTALANDS LÄN</t>
        </is>
      </c>
      <c r="G295" t="inlineStr">
        <is>
          <t>MUNKEDAL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46311</v>
      </c>
      <c r="E296" s="1" t="n">
        <v>46321</v>
      </c>
      <c r="F296" t="inlineStr">
        <is>
          <t>VÄSTRA GÖTALANDS LÄN</t>
        </is>
      </c>
      <c r="G296" t="inlineStr">
        <is>
          <t>MUNKEDAL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46321</v>
      </c>
      <c r="F297" t="inlineStr">
        <is>
          <t>VÄSTRA GÖTALANDS LÄN</t>
        </is>
      </c>
      <c r="G297" t="inlineStr">
        <is>
          <t>MUNKEDAL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45522</v>
      </c>
      <c r="E298" s="1" t="n">
        <v>46321</v>
      </c>
      <c r="F298" t="inlineStr">
        <is>
          <t>VÄSTRA GÖTALANDS LÄN</t>
        </is>
      </c>
      <c r="G298" t="inlineStr">
        <is>
          <t>MUNKEDAL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45388</v>
      </c>
      <c r="E299" s="1" t="n">
        <v>46321</v>
      </c>
      <c r="F299" t="inlineStr">
        <is>
          <t>VÄSTRA GÖTALANDS LÄN</t>
        </is>
      </c>
      <c r="G299" t="inlineStr">
        <is>
          <t>MUNKEDAL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46321</v>
      </c>
      <c r="F300" t="inlineStr">
        <is>
          <t>VÄSTRA GÖTALANDS LÄN</t>
        </is>
      </c>
      <c r="G300" t="inlineStr">
        <is>
          <t>MUNKEDAL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59171-2022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46321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46321</v>
      </c>
      <c r="F302" t="inlineStr">
        <is>
          <t>VÄSTRA GÖTALANDS LÄN</t>
        </is>
      </c>
      <c r="G302" t="inlineStr">
        <is>
          <t>MUNKEDAL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46321</v>
      </c>
      <c r="F303" t="inlineStr">
        <is>
          <t>VÄSTRA GÖTALANDS LÄN</t>
        </is>
      </c>
      <c r="G303" t="inlineStr">
        <is>
          <t>MUNKEDAL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46272</v>
      </c>
      <c r="E304" s="1" t="n">
        <v>46321</v>
      </c>
      <c r="F304" t="inlineStr">
        <is>
          <t>VÄSTRA GÖTALANDS LÄN</t>
        </is>
      </c>
      <c r="G304" t="inlineStr">
        <is>
          <t>MUNKEDAL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37239-2026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46274</v>
      </c>
      <c r="E305" s="1" t="n">
        <v>46321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46321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46273</v>
      </c>
      <c r="E307" s="1" t="n">
        <v>46321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23610-2023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45072</v>
      </c>
      <c r="E308" s="1" t="n">
        <v>46321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Kommuner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8761-2024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45355</v>
      </c>
      <c r="E309" s="1" t="n">
        <v>46321</v>
      </c>
      <c r="F309" t="inlineStr">
        <is>
          <t>VÄSTRA GÖTALANDS LÄN</t>
        </is>
      </c>
      <c r="G309" t="inlineStr">
        <is>
          <t>MUNKEDAL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46321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46321</v>
      </c>
      <c r="F311" t="inlineStr">
        <is>
          <t>VÄSTRA GÖTALANDS LÄN</t>
        </is>
      </c>
      <c r="G311" t="inlineStr">
        <is>
          <t>MUNKEDAL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46321</v>
      </c>
      <c r="F312" t="inlineStr">
        <is>
          <t>VÄSTRA GÖTALANDS LÄN</t>
        </is>
      </c>
      <c r="G312" t="inlineStr">
        <is>
          <t>MUNKEDAL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46321</v>
      </c>
      <c r="F313" t="inlineStr">
        <is>
          <t>VÄSTRA GÖTALANDS LÄN</t>
        </is>
      </c>
      <c r="G313" t="inlineStr">
        <is>
          <t>MUNKEDAL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20797-2026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46321</v>
      </c>
      <c r="F314" t="inlineStr">
        <is>
          <t>VÄSTRA GÖTALANDS LÄN</t>
        </is>
      </c>
      <c r="G314" t="inlineStr">
        <is>
          <t>MUNKEDAL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46274</v>
      </c>
      <c r="E315" s="1" t="n">
        <v>46321</v>
      </c>
      <c r="F315" t="inlineStr">
        <is>
          <t>VÄSTRA GÖTALANDS LÄN</t>
        </is>
      </c>
      <c r="G315" t="inlineStr">
        <is>
          <t>MUNKEDAL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46321</v>
      </c>
      <c r="F316" t="inlineStr">
        <is>
          <t>VÄSTRA GÖTALANDS LÄN</t>
        </is>
      </c>
      <c r="G316" t="inlineStr">
        <is>
          <t>MUNKEDAL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45348</v>
      </c>
      <c r="E317" s="1" t="n">
        <v>46321</v>
      </c>
      <c r="F317" t="inlineStr">
        <is>
          <t>VÄSTRA GÖTALANDS LÄN</t>
        </is>
      </c>
      <c r="G317" t="inlineStr">
        <is>
          <t>MUNKEDAL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45560</v>
      </c>
      <c r="E318" s="1" t="n">
        <v>46321</v>
      </c>
      <c r="F318" t="inlineStr">
        <is>
          <t>VÄSTRA GÖTALANDS LÄN</t>
        </is>
      </c>
      <c r="G318" t="inlineStr">
        <is>
          <t>MUNKEDAL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46321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Kommuner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46321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46321</v>
      </c>
      <c r="F321" t="inlineStr">
        <is>
          <t>VÄSTRA GÖTALANDS LÄN</t>
        </is>
      </c>
      <c r="G321" t="inlineStr">
        <is>
          <t>MUNKEDAL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46321</v>
      </c>
      <c r="F322" t="inlineStr">
        <is>
          <t>VÄSTRA GÖTALANDS LÄN</t>
        </is>
      </c>
      <c r="G322" t="inlineStr">
        <is>
          <t>MUNKEDAL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54875-2024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45618</v>
      </c>
      <c r="E323" s="1" t="n">
        <v>46321</v>
      </c>
      <c r="F323" t="inlineStr">
        <is>
          <t>VÄSTRA GÖTALANDS LÄN</t>
        </is>
      </c>
      <c r="G323" t="inlineStr">
        <is>
          <t>MUNKEDAL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46321</v>
      </c>
      <c r="F324" t="inlineStr">
        <is>
          <t>VÄSTRA GÖTALANDS LÄN</t>
        </is>
      </c>
      <c r="G324" t="inlineStr">
        <is>
          <t>MUNKEDAL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45640</v>
      </c>
      <c r="E325" s="1" t="n">
        <v>46321</v>
      </c>
      <c r="F325" t="inlineStr">
        <is>
          <t>VÄSTRA GÖTALANDS LÄN</t>
        </is>
      </c>
      <c r="G325" t="inlineStr">
        <is>
          <t>MUNKEDAL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46321</v>
      </c>
      <c r="F326" t="inlineStr">
        <is>
          <t>VÄSTRA GÖTALANDS LÄN</t>
        </is>
      </c>
      <c r="G326" t="inlineStr">
        <is>
          <t>MUNKEDAL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46321</v>
      </c>
      <c r="F327" t="inlineStr">
        <is>
          <t>VÄSTRA GÖTALANDS LÄN</t>
        </is>
      </c>
      <c r="G327" t="inlineStr">
        <is>
          <t>MUNKEDAL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45145</v>
      </c>
      <c r="E328" s="1" t="n">
        <v>46321</v>
      </c>
      <c r="F328" t="inlineStr">
        <is>
          <t>VÄSTRA GÖTALANDS LÄN</t>
        </is>
      </c>
      <c r="G328" t="inlineStr">
        <is>
          <t>MUNKEDAL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45684</v>
      </c>
      <c r="E329" s="1" t="n">
        <v>46321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Kommuner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45640</v>
      </c>
      <c r="E330" s="1" t="n">
        <v>46321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45640</v>
      </c>
      <c r="E331" s="1" t="n">
        <v>46321</v>
      </c>
      <c r="F331" t="inlineStr">
        <is>
          <t>VÄSTRA GÖTALANDS LÄN</t>
        </is>
      </c>
      <c r="G331" t="inlineStr">
        <is>
          <t>MUNKEDAL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44608</v>
      </c>
      <c r="E332" s="1" t="n">
        <v>46321</v>
      </c>
      <c r="F332" t="inlineStr">
        <is>
          <t>VÄSTRA GÖTALANDS LÄN</t>
        </is>
      </c>
      <c r="G332" t="inlineStr">
        <is>
          <t>MUNKEDAL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45664</v>
      </c>
      <c r="E333" s="1" t="n">
        <v>46321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18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46321</v>
      </c>
      <c r="F334" t="inlineStr">
        <is>
          <t>VÄSTRA GÖTALANDS LÄN</t>
        </is>
      </c>
      <c r="G334" t="inlineStr">
        <is>
          <t>MUNKEDAL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45582</v>
      </c>
      <c r="E335" s="1" t="n">
        <v>46321</v>
      </c>
      <c r="F335" t="inlineStr">
        <is>
          <t>VÄSTRA GÖTALANDS LÄN</t>
        </is>
      </c>
      <c r="G335" t="inlineStr">
        <is>
          <t>MUNKEDAL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44748</v>
      </c>
      <c r="E336" s="1" t="n">
        <v>46321</v>
      </c>
      <c r="F336" t="inlineStr">
        <is>
          <t>VÄSTRA GÖTALANDS LÄN</t>
        </is>
      </c>
      <c r="G336" t="inlineStr">
        <is>
          <t>MUNKEDAL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44760</v>
      </c>
      <c r="E337" s="1" t="n">
        <v>46321</v>
      </c>
      <c r="F337" t="inlineStr">
        <is>
          <t>VÄSTRA GÖTALANDS LÄN</t>
        </is>
      </c>
      <c r="G337" t="inlineStr">
        <is>
          <t>MUNKEDAL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45127</v>
      </c>
      <c r="E338" s="1" t="n">
        <v>46321</v>
      </c>
      <c r="F338" t="inlineStr">
        <is>
          <t>VÄSTRA GÖTALANDS LÄN</t>
        </is>
      </c>
      <c r="G338" t="inlineStr">
        <is>
          <t>MUNKEDAL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13303-2023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45005</v>
      </c>
      <c r="E339" s="1" t="n">
        <v>46321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46321</v>
      </c>
      <c r="F340" t="inlineStr">
        <is>
          <t>VÄSTRA GÖTALANDS LÄN</t>
        </is>
      </c>
      <c r="G340" t="inlineStr">
        <is>
          <t>MUNKEDAL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45488</v>
      </c>
      <c r="E341" s="1" t="n">
        <v>46321</v>
      </c>
      <c r="F341" t="inlineStr">
        <is>
          <t>VÄSTRA GÖTALANDS LÄN</t>
        </is>
      </c>
      <c r="G341" t="inlineStr">
        <is>
          <t>MUNKEDAL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45489</v>
      </c>
      <c r="E342" s="1" t="n">
        <v>46321</v>
      </c>
      <c r="F342" t="inlineStr">
        <is>
          <t>VÄSTRA GÖTALANDS LÄN</t>
        </is>
      </c>
      <c r="G342" t="inlineStr">
        <is>
          <t>MUNKEDAL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45678</v>
      </c>
      <c r="E343" s="1" t="n">
        <v>46321</v>
      </c>
      <c r="F343" t="inlineStr">
        <is>
          <t>VÄSTRA GÖTALANDS LÄN</t>
        </is>
      </c>
      <c r="G343" t="inlineStr">
        <is>
          <t>MUNKEDAL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46321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44935</v>
      </c>
      <c r="E345" s="1" t="n">
        <v>46321</v>
      </c>
      <c r="F345" t="inlineStr">
        <is>
          <t>VÄSTRA GÖTALANDS LÄN</t>
        </is>
      </c>
      <c r="G345" t="inlineStr">
        <is>
          <t>MUNKEDAL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45736</v>
      </c>
      <c r="E346" s="1" t="n">
        <v>46321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46321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Kommuner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45055</v>
      </c>
      <c r="E348" s="1" t="n">
        <v>46321</v>
      </c>
      <c r="F348" t="inlineStr">
        <is>
          <t>VÄSTRA GÖTALANDS LÄN</t>
        </is>
      </c>
      <c r="G348" t="inlineStr">
        <is>
          <t>MUNKEDAL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62331-2023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46321</v>
      </c>
      <c r="F349" t="inlineStr">
        <is>
          <t>VÄSTRA GÖTALANDS LÄN</t>
        </is>
      </c>
      <c r="G349" t="inlineStr">
        <is>
          <t>MUNKEDAL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45700</v>
      </c>
      <c r="E350" s="1" t="n">
        <v>46321</v>
      </c>
      <c r="F350" t="inlineStr">
        <is>
          <t>VÄSTRA GÖTALANDS LÄN</t>
        </is>
      </c>
      <c r="G350" t="inlineStr">
        <is>
          <t>MUNKEDAL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46321</v>
      </c>
      <c r="F351" t="inlineStr">
        <is>
          <t>VÄSTRA GÖTALANDS LÄN</t>
        </is>
      </c>
      <c r="G351" t="inlineStr">
        <is>
          <t>MUNKEDAL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45071</v>
      </c>
      <c r="E352" s="1" t="n">
        <v>46321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Naturvårdsverket</t>
        </is>
      </c>
      <c r="I352" t="n">
        <v>15.8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19289-2025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46321</v>
      </c>
      <c r="F353" t="inlineStr">
        <is>
          <t>VÄSTRA GÖTALANDS LÄN</t>
        </is>
      </c>
      <c r="G353" t="inlineStr">
        <is>
          <t>MUNKEDAL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46321</v>
      </c>
      <c r="F354" t="inlineStr">
        <is>
          <t>VÄSTRA GÖTALANDS LÄN</t>
        </is>
      </c>
      <c r="G354" t="inlineStr">
        <is>
          <t>MUNKEDAL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44523</v>
      </c>
      <c r="E355" s="1" t="n">
        <v>46321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44588</v>
      </c>
      <c r="E356" s="1" t="n">
        <v>46321</v>
      </c>
      <c r="F356" t="inlineStr">
        <is>
          <t>VÄSTRA GÖTALANDS LÄN</t>
        </is>
      </c>
      <c r="G356" t="inlineStr">
        <is>
          <t>MUNKEDAL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45313</v>
      </c>
      <c r="E357" s="1" t="n">
        <v>46321</v>
      </c>
      <c r="F357" t="inlineStr">
        <is>
          <t>VÄSTRA GÖTALANDS LÄN</t>
        </is>
      </c>
      <c r="G357" t="inlineStr">
        <is>
          <t>MUNKEDAL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46321</v>
      </c>
      <c r="F358" t="inlineStr">
        <is>
          <t>VÄSTRA GÖTALANDS LÄN</t>
        </is>
      </c>
      <c r="G358" t="inlineStr">
        <is>
          <t>MUNKEDAL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45296</v>
      </c>
      <c r="E359" s="1" t="n">
        <v>46321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Kyrkan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46321</v>
      </c>
      <c r="F360" t="inlineStr">
        <is>
          <t>VÄSTRA GÖTALANDS LÄN</t>
        </is>
      </c>
      <c r="G360" t="inlineStr">
        <is>
          <t>MUNKEDAL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64879-2023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45282</v>
      </c>
      <c r="E361" s="1" t="n">
        <v>46321</v>
      </c>
      <c r="F361" t="inlineStr">
        <is>
          <t>VÄSTRA GÖTALANDS LÄN</t>
        </is>
      </c>
      <c r="G361" t="inlineStr">
        <is>
          <t>MUNKEDAL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44579</v>
      </c>
      <c r="E362" s="1" t="n">
        <v>46321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Kyrkan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45532</v>
      </c>
      <c r="E363" s="1" t="n">
        <v>46321</v>
      </c>
      <c r="F363" t="inlineStr">
        <is>
          <t>VÄSTRA GÖTALANDS LÄN</t>
        </is>
      </c>
      <c r="G363" t="inlineStr">
        <is>
          <t>MUNKEDAL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45747</v>
      </c>
      <c r="E364" s="1" t="n">
        <v>46321</v>
      </c>
      <c r="F364" t="inlineStr">
        <is>
          <t>VÄSTRA GÖTALANDS LÄN</t>
        </is>
      </c>
      <c r="G364" t="inlineStr">
        <is>
          <t>MUNKEDAL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59150-2022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44897</v>
      </c>
      <c r="E365" s="1" t="n">
        <v>46321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45127</v>
      </c>
      <c r="E366" s="1" t="n">
        <v>46321</v>
      </c>
      <c r="F366" t="inlineStr">
        <is>
          <t>VÄSTRA GÖTALANDS LÄN</t>
        </is>
      </c>
      <c r="G366" t="inlineStr">
        <is>
          <t>MUNKEDAL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46321</v>
      </c>
      <c r="F367" t="inlineStr">
        <is>
          <t>VÄSTRA GÖTALANDS LÄN</t>
        </is>
      </c>
      <c r="G367" t="inlineStr">
        <is>
          <t>MUNKEDAL</t>
        </is>
      </c>
      <c r="I367" t="n">
        <v>7.7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45640</v>
      </c>
      <c r="E368" s="1" t="n">
        <v>46321</v>
      </c>
      <c r="F368" t="inlineStr">
        <is>
          <t>VÄSTRA GÖTALANDS LÄN</t>
        </is>
      </c>
      <c r="G368" t="inlineStr">
        <is>
          <t>MUNKEDAL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44749</v>
      </c>
      <c r="E369" s="1" t="n">
        <v>46321</v>
      </c>
      <c r="F369" t="inlineStr">
        <is>
          <t>VÄSTRA GÖTALANDS LÄN</t>
        </is>
      </c>
      <c r="G369" t="inlineStr">
        <is>
          <t>MUNKEDAL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44755</v>
      </c>
      <c r="E370" s="1" t="n">
        <v>46321</v>
      </c>
      <c r="F370" t="inlineStr">
        <is>
          <t>VÄSTRA GÖTALANDS LÄN</t>
        </is>
      </c>
      <c r="G370" t="inlineStr">
        <is>
          <t>MUNKEDAL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45575</v>
      </c>
      <c r="E371" s="1" t="n">
        <v>46321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Naturvårdsverket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46321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46321</v>
      </c>
      <c r="F373" t="inlineStr">
        <is>
          <t>VÄSTRA GÖTALANDS LÄN</t>
        </is>
      </c>
      <c r="G373" t="inlineStr">
        <is>
          <t>MUNKEDAL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46321</v>
      </c>
      <c r="F374" t="inlineStr">
        <is>
          <t>VÄSTRA GÖTALANDS LÄN</t>
        </is>
      </c>
      <c r="G374" t="inlineStr">
        <is>
          <t>MUNKEDAL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46321</v>
      </c>
      <c r="F375" t="inlineStr">
        <is>
          <t>VÄSTRA GÖTALANDS LÄN</t>
        </is>
      </c>
      <c r="G375" t="inlineStr">
        <is>
          <t>MUNKEDAL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41716-2024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46321</v>
      </c>
      <c r="F376" t="inlineStr">
        <is>
          <t>VÄSTRA GÖTALANDS LÄN</t>
        </is>
      </c>
      <c r="G376" t="inlineStr">
        <is>
          <t>MUNKEDAL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45478</v>
      </c>
      <c r="E377" s="1" t="n">
        <v>46321</v>
      </c>
      <c r="F377" t="inlineStr">
        <is>
          <t>VÄSTRA GÖTALANDS LÄN</t>
        </is>
      </c>
      <c r="G377" t="inlineStr">
        <is>
          <t>MUNKEDAL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46321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4362-2024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45325</v>
      </c>
      <c r="E379" s="1" t="n">
        <v>46321</v>
      </c>
      <c r="F379" t="inlineStr">
        <is>
          <t>VÄSTRA GÖTALANDS LÄN</t>
        </is>
      </c>
      <c r="G379" t="inlineStr">
        <is>
          <t>MUNKEDAL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45736</v>
      </c>
      <c r="E380" s="1" t="n">
        <v>46321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49912-2023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45214</v>
      </c>
      <c r="E381" s="1" t="n">
        <v>46321</v>
      </c>
      <c r="F381" t="inlineStr">
        <is>
          <t>VÄSTRA GÖTALANDS LÄN</t>
        </is>
      </c>
      <c r="G381" t="inlineStr">
        <is>
          <t>MUNKEDAL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46321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46321</v>
      </c>
      <c r="F383" t="inlineStr">
        <is>
          <t>VÄSTRA GÖTALANDS LÄN</t>
        </is>
      </c>
      <c r="G383" t="inlineStr">
        <is>
          <t>MUNKEDAL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45138</v>
      </c>
      <c r="E384" s="1" t="n">
        <v>46321</v>
      </c>
      <c r="F384" t="inlineStr">
        <is>
          <t>VÄSTRA GÖTALANDS LÄN</t>
        </is>
      </c>
      <c r="G384" t="inlineStr">
        <is>
          <t>MUNKEDAL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18278-2025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45762</v>
      </c>
      <c r="E385" s="1" t="n">
        <v>46321</v>
      </c>
      <c r="F385" t="inlineStr">
        <is>
          <t>VÄSTRA GÖTALANDS LÄN</t>
        </is>
      </c>
      <c r="G385" t="inlineStr">
        <is>
          <t>MUNKEDAL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46321</v>
      </c>
      <c r="F386" t="inlineStr">
        <is>
          <t>VÄSTRA GÖTALANDS LÄN</t>
        </is>
      </c>
      <c r="G386" t="inlineStr">
        <is>
          <t>MUNKEDAL</t>
        </is>
      </c>
      <c r="H386" t="inlineStr">
        <is>
          <t>Övriga Aktiebolag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36906-2023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45153</v>
      </c>
      <c r="E387" s="1" t="n">
        <v>46321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46321</v>
      </c>
      <c r="F388" t="inlineStr">
        <is>
          <t>VÄSTRA GÖTALANDS LÄN</t>
        </is>
      </c>
      <c r="G388" t="inlineStr">
        <is>
          <t>MUNKEDAL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45314</v>
      </c>
      <c r="E389" s="1" t="n">
        <v>46321</v>
      </c>
      <c r="F389" t="inlineStr">
        <is>
          <t>VÄSTRA GÖTALANDS LÄN</t>
        </is>
      </c>
      <c r="G389" t="inlineStr">
        <is>
          <t>MUNKEDAL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45337</v>
      </c>
      <c r="E390" s="1" t="n">
        <v>46321</v>
      </c>
      <c r="F390" t="inlineStr">
        <is>
          <t>VÄSTRA GÖTALANDS LÄN</t>
        </is>
      </c>
      <c r="G390" t="inlineStr">
        <is>
          <t>MUNKEDAL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44715</v>
      </c>
      <c r="E391" s="1" t="n">
        <v>46321</v>
      </c>
      <c r="F391" t="inlineStr">
        <is>
          <t>VÄSTRA GÖTALANDS LÄN</t>
        </is>
      </c>
      <c r="G391" t="inlineStr">
        <is>
          <t>MUNKEDAL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45293</v>
      </c>
      <c r="E392" s="1" t="n">
        <v>46321</v>
      </c>
      <c r="F392" t="inlineStr">
        <is>
          <t>VÄSTRA GÖTALANDS LÄN</t>
        </is>
      </c>
      <c r="G392" t="inlineStr">
        <is>
          <t>MUNKEDAL</t>
        </is>
      </c>
      <c r="H392" t="inlineStr">
        <is>
          <t>Övriga Aktiebolag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45160</v>
      </c>
      <c r="E393" s="1" t="n">
        <v>46321</v>
      </c>
      <c r="F393" t="inlineStr">
        <is>
          <t>VÄSTRA GÖTALANDS LÄN</t>
        </is>
      </c>
      <c r="G393" t="inlineStr">
        <is>
          <t>MUNKEDAL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37327-2022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44806</v>
      </c>
      <c r="E394" s="1" t="n">
        <v>46321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Övriga Aktiebolag</t>
        </is>
      </c>
      <c r="I394" t="n">
        <v>25.2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46321</v>
      </c>
      <c r="F395" t="inlineStr">
        <is>
          <t>VÄSTRA GÖTALANDS LÄN</t>
        </is>
      </c>
      <c r="G395" t="inlineStr">
        <is>
          <t>MUNKEDAL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45264</v>
      </c>
      <c r="E396" s="1" t="n">
        <v>46321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21125-2022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44704</v>
      </c>
      <c r="E397" s="1" t="n">
        <v>46321</v>
      </c>
      <c r="F397" t="inlineStr">
        <is>
          <t>VÄSTRA GÖTALANDS LÄN</t>
        </is>
      </c>
      <c r="G397" t="inlineStr">
        <is>
          <t>MUNKEDAL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45293</v>
      </c>
      <c r="E398" s="1" t="n">
        <v>46321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45296</v>
      </c>
      <c r="E399" s="1" t="n">
        <v>46321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44866</v>
      </c>
      <c r="E400" s="1" t="n">
        <v>46321</v>
      </c>
      <c r="F400" t="inlineStr">
        <is>
          <t>VÄSTRA GÖTALANDS LÄN</t>
        </is>
      </c>
      <c r="G400" t="inlineStr">
        <is>
          <t>MUNKEDAL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45470</v>
      </c>
      <c r="E401" s="1" t="n">
        <v>46321</v>
      </c>
      <c r="F401" t="inlineStr">
        <is>
          <t>VÄSTRA GÖTALANDS LÄN</t>
        </is>
      </c>
      <c r="G401" t="inlineStr">
        <is>
          <t>MUNKEDAL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45619</v>
      </c>
      <c r="E402" s="1" t="n">
        <v>46321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54001-2023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45231</v>
      </c>
      <c r="E403" s="1" t="n">
        <v>46321</v>
      </c>
      <c r="F403" t="inlineStr">
        <is>
          <t>VÄSTRA GÖTALANDS LÄN</t>
        </is>
      </c>
      <c r="G403" t="inlineStr">
        <is>
          <t>MUNKEDAL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46321</v>
      </c>
      <c r="F404" t="inlineStr">
        <is>
          <t>VÄSTRA GÖTALANDS LÄN</t>
        </is>
      </c>
      <c r="G404" t="inlineStr">
        <is>
          <t>MUNKEDAL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41521-2023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45175</v>
      </c>
      <c r="E405" s="1" t="n">
        <v>46321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11262-2024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46321</v>
      </c>
      <c r="F406" t="inlineStr">
        <is>
          <t>VÄSTRA GÖTALANDS LÄN</t>
        </is>
      </c>
      <c r="G406" t="inlineStr">
        <is>
          <t>MUNKEDAL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46321</v>
      </c>
      <c r="F407" t="inlineStr">
        <is>
          <t>VÄSTRA GÖTALANDS LÄN</t>
        </is>
      </c>
      <c r="G407" t="inlineStr">
        <is>
          <t>MUNKEDAL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45400</v>
      </c>
      <c r="E408" s="1" t="n">
        <v>46321</v>
      </c>
      <c r="F408" t="inlineStr">
        <is>
          <t>VÄSTRA GÖTALANDS LÄN</t>
        </is>
      </c>
      <c r="G408" t="inlineStr">
        <is>
          <t>MUNKEDAL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44606</v>
      </c>
      <c r="E409" s="1" t="n">
        <v>46321</v>
      </c>
      <c r="F409" t="inlineStr">
        <is>
          <t>VÄSTRA GÖTALANDS LÄN</t>
        </is>
      </c>
      <c r="G409" t="inlineStr">
        <is>
          <t>MUNKEDAL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45489</v>
      </c>
      <c r="E410" s="1" t="n">
        <v>46321</v>
      </c>
      <c r="F410" t="inlineStr">
        <is>
          <t>VÄSTRA GÖTALANDS LÄN</t>
        </is>
      </c>
      <c r="G410" t="inlineStr">
        <is>
          <t>MUNKEDAL</t>
        </is>
      </c>
      <c r="I410" t="n">
        <v>10.3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46321</v>
      </c>
      <c r="F411" t="inlineStr">
        <is>
          <t>VÄSTRA GÖTALANDS LÄN</t>
        </is>
      </c>
      <c r="G411" t="inlineStr">
        <is>
          <t>MUNKEDAL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46321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46321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46321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46321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46321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2026-10-26T03:11:45Z</dcterms:created>
  <dcterms:modified xmlns:dcterms="http://purl.org/dc/terms/" xmlns:xsi="http://www.w3.org/2001/XMLSchema-instance" xsi:type="dcterms:W3CDTF">2026-10-26T03:11:45Z</dcterms:modified>
</cp:coreProperties>
</file>