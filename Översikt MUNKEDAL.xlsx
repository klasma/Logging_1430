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46261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46261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46261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46261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46261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46261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46261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46261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46261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46261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46261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46261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46261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45083-2024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46261</v>
      </c>
      <c r="F23" t="inlineStr">
        <is>
          <t>VÄSTRA GÖTALANDS LÄN</t>
        </is>
      </c>
      <c r="G23" t="inlineStr">
        <is>
          <t>MUNKEDAL</t>
        </is>
      </c>
      <c r="I23" t="n">
        <v>2.7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HYPERLINK("https://klasma.github.io/Logging_1430/artfynd/A 45083-2024 artfynd.xlsx", "A 45083-2024")</f>
        <v/>
      </c>
      <c r="X23">
        <f>HYPERLINK("https://klasma.github.io/Logging_1430/kartor/A 45083-2024 karta.png", "A 45083-2024")</f>
        <v/>
      </c>
      <c r="Y23">
        <f>HYPERLINK("https://klasma.github.io/Logging_1430/kartor_geotiff/A 45083-2024 georefererad karta.tif", "A 45083-2024")</f>
        <v/>
      </c>
      <c r="AA23">
        <f>HYPERLINK("https://klasma.github.io/Logging_1430/klagomål/A 45083-2024 FSC-klagomål.docx", "A 45083-2024")</f>
        <v/>
      </c>
      <c r="AB23">
        <f>HYPERLINK("https://klasma.github.io/Logging_1430/klagomålsmail/A 45083-2024 FSC-klagomål mail.docx", "A 45083-2024")</f>
        <v/>
      </c>
      <c r="AC23">
        <f>HYPERLINK("https://klasma.github.io/Logging_1430/tillsyn/A 45083-2024 tillsynsbegäran.docx", "A 45083-2024")</f>
        <v/>
      </c>
      <c r="AD23">
        <f>HYPERLINK("https://klasma.github.io/Logging_1430/tillsynsmail/A 45083-2024 tillsynsbegäran mail.docx", "A 45083-2024")</f>
        <v/>
      </c>
    </row>
    <row r="24" ht="15" customHeight="1">
      <c r="A24" t="inlineStr">
        <is>
          <t>A 62525-2021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46261</v>
      </c>
      <c r="F24" t="inlineStr">
        <is>
          <t>VÄSTRA GÖTALANDS LÄN</t>
        </is>
      </c>
      <c r="G24" t="inlineStr">
        <is>
          <t>MUNKEDAL</t>
        </is>
      </c>
      <c r="I24" t="n">
        <v>14.5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Trollsmultron</t>
        </is>
      </c>
      <c r="W24">
        <f>HYPERLINK("https://klasma.github.io/Logging_1430/artfynd/A 62525-2021 artfynd.xlsx", "A 62525-2021")</f>
        <v/>
      </c>
      <c r="X24">
        <f>HYPERLINK("https://klasma.github.io/Logging_1430/kartor/A 62525-2021 karta.png", "A 62525-2021")</f>
        <v/>
      </c>
      <c r="Y24">
        <f>HYPERLINK("https://klasma.github.io/Logging_1430/kartor_geotiff/A 62525-2021 georefererad karta.tif", "A 62525-2021")</f>
        <v/>
      </c>
      <c r="AA24">
        <f>HYPERLINK("https://klasma.github.io/Logging_1430/klagomål/A 62525-2021 FSC-klagomål.docx", "A 62525-2021")</f>
        <v/>
      </c>
      <c r="AB24">
        <f>HYPERLINK("https://klasma.github.io/Logging_1430/klagomålsmail/A 62525-2021 FSC-klagomål mail.docx", "A 62525-2021")</f>
        <v/>
      </c>
      <c r="AC24">
        <f>HYPERLINK("https://klasma.github.io/Logging_1430/tillsyn/A 62525-2021 tillsynsbegäran.docx", "A 62525-2021")</f>
        <v/>
      </c>
      <c r="AD24">
        <f>HYPERLINK("https://klasma.github.io/Logging_1430/tillsynsmail/A 62525-2021 tillsynsbegäran mail.docx", "A 62525-2021")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46261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HYPERLINK("https://klasma.github.io/Logging_1430/artfynd/A 37035-2024 artfynd.xlsx", "A 37035-2024")</f>
        <v/>
      </c>
      <c r="X25">
        <f>HYPERLINK("https://klasma.github.io/Logging_1430/kartor/A 37035-2024 karta.png", "A 37035-2024")</f>
        <v/>
      </c>
      <c r="Y25">
        <f>HYPERLINK("https://klasma.github.io/Logging_1430/kartor_geotiff/A 37035-2024 georefererad karta.tif", "A 37035-2024")</f>
        <v/>
      </c>
      <c r="AA25">
        <f>HYPERLINK("https://klasma.github.io/Logging_1430/klagomål/A 37035-2024 FSC-klagomål.docx", "A 37035-2024")</f>
        <v/>
      </c>
      <c r="AB25">
        <f>HYPERLINK("https://klasma.github.io/Logging_1430/klagomålsmail/A 37035-2024 FSC-klagomål mail.docx", "A 37035-2024")</f>
        <v/>
      </c>
      <c r="AC25">
        <f>HYPERLINK("https://klasma.github.io/Logging_1430/tillsyn/A 37035-2024 tillsynsbegäran.docx", "A 37035-2024")</f>
        <v/>
      </c>
      <c r="AD25">
        <f>HYPERLINK("https://klasma.github.io/Logging_1430/tillsynsmail/A 37035-2024 tillsynsbegäran mail.docx", "A 37035-2024")</f>
        <v/>
      </c>
    </row>
    <row r="26" ht="15" customHeight="1">
      <c r="A26" t="inlineStr">
        <is>
          <t>A 58890-2022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44903</v>
      </c>
      <c r="E26" s="1" t="n">
        <v>46261</v>
      </c>
      <c r="F26" t="inlineStr">
        <is>
          <t>VÄSTRA GÖTALANDS LÄN</t>
        </is>
      </c>
      <c r="G26" t="inlineStr">
        <is>
          <t>MUNKEDAL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revmossa</t>
        </is>
      </c>
      <c r="W26">
        <f>HYPERLINK("https://klasma.github.io/Logging_1430/artfynd/A 58890-2022 artfynd.xlsx", "A 58890-2022")</f>
        <v/>
      </c>
      <c r="X26">
        <f>HYPERLINK("https://klasma.github.io/Logging_1430/kartor/A 58890-2022 karta.png", "A 58890-2022")</f>
        <v/>
      </c>
      <c r="Y26">
        <f>HYPERLINK("https://klasma.github.io/Logging_1430/kartor_geotiff/A 58890-2022 georefererad karta.tif", "A 58890-2022")</f>
        <v/>
      </c>
      <c r="AA26">
        <f>HYPERLINK("https://klasma.github.io/Logging_1430/klagomål/A 58890-2022 FSC-klagomål.docx", "A 58890-2022")</f>
        <v/>
      </c>
      <c r="AB26">
        <f>HYPERLINK("https://klasma.github.io/Logging_1430/klagomålsmail/A 58890-2022 FSC-klagomål mail.docx", "A 58890-2022")</f>
        <v/>
      </c>
      <c r="AC26">
        <f>HYPERLINK("https://klasma.github.io/Logging_1430/tillsyn/A 58890-2022 tillsynsbegäran.docx", "A 58890-2022")</f>
        <v/>
      </c>
      <c r="AD26">
        <f>HYPERLINK("https://klasma.github.io/Logging_1430/tillsynsmail/A 58890-2022 tillsynsbegäran mail.docx", "A 58890-2022")</f>
        <v/>
      </c>
    </row>
    <row r="27" ht="15" customHeight="1">
      <c r="A27" t="inlineStr">
        <is>
          <t>A 45160-2024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46261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Naturvårdsverket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HYPERLINK("https://klasma.github.io/Logging_1430/artfynd/A 45160-2024 artfynd.xlsx", "A 45160-2024")</f>
        <v/>
      </c>
      <c r="X27">
        <f>HYPERLINK("https://klasma.github.io/Logging_1430/kartor/A 45160-2024 karta.png", "A 45160-2024")</f>
        <v/>
      </c>
      <c r="Y27">
        <f>HYPERLINK("https://klasma.github.io/Logging_1430/kartor_geotiff/A 45160-2024 georefererad karta.tif", "A 45160-2024")</f>
        <v/>
      </c>
      <c r="AA27">
        <f>HYPERLINK("https://klasma.github.io/Logging_1430/klagomål/A 45160-2024 FSC-klagomål.docx", "A 45160-2024")</f>
        <v/>
      </c>
      <c r="AB27">
        <f>HYPERLINK("https://klasma.github.io/Logging_1430/klagomålsmail/A 45160-2024 FSC-klagomål mail.docx", "A 45160-2024")</f>
        <v/>
      </c>
      <c r="AC27">
        <f>HYPERLINK("https://klasma.github.io/Logging_1430/tillsyn/A 45160-2024 tillsynsbegäran.docx", "A 45160-2024")</f>
        <v/>
      </c>
      <c r="AD27">
        <f>HYPERLINK("https://klasma.github.io/Logging_1430/tillsynsmail/A 45160-2024 tillsynsbegäran mail.docx", "A 45160-2024")</f>
        <v/>
      </c>
      <c r="AE27">
        <f>HYPERLINK("https://klasma.github.io/Logging_1430/fåglar/A 45160-2024 prioriterade fågelarter.docx", "A 45160-2024")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46261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46261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46261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Jaktfalk</t>
        </is>
      </c>
      <c r="W30">
        <f>HYPERLINK("https://klasma.github.io/Logging_1430/artfynd/A 36912-2023 artfynd.xlsx", "A 36912-2023")</f>
        <v/>
      </c>
      <c r="X30">
        <f>HYPERLINK("https://klasma.github.io/Logging_1430/kartor/A 36912-2023 karta.png", "A 36912-2023")</f>
        <v/>
      </c>
      <c r="Y30">
        <f>HYPERLINK("https://klasma.github.io/Logging_1430/kartor_geotiff/A 36912-2023 georefererad karta.tif", "A 36912-2023")</f>
        <v/>
      </c>
      <c r="AA30">
        <f>HYPERLINK("https://klasma.github.io/Logging_1430/klagomål/A 36912-2023 FSC-klagomål.docx", "A 36912-2023")</f>
        <v/>
      </c>
      <c r="AB30">
        <f>HYPERLINK("https://klasma.github.io/Logging_1430/klagomålsmail/A 36912-2023 FSC-klagomål mail.docx", "A 36912-2023")</f>
        <v/>
      </c>
      <c r="AC30">
        <f>HYPERLINK("https://klasma.github.io/Logging_1430/tillsyn/A 36912-2023 tillsynsbegäran.docx", "A 36912-2023")</f>
        <v/>
      </c>
      <c r="AD30">
        <f>HYPERLINK("https://klasma.github.io/Logging_1430/tillsynsmail/A 36912-2023 tillsynsbegäran mail.docx", "A 36912-2023")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46261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46261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46261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46261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46261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46261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46261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46261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46261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46261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46261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46261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46261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46261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46261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46261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46261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46261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46261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46261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46261</v>
      </c>
      <c r="F51" t="inlineStr">
        <is>
          <t>VÄSTRA GÖTALANDS LÄN</t>
        </is>
      </c>
      <c r="G51" t="inlineStr">
        <is>
          <t>MUNKEDAL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46261</v>
      </c>
      <c r="F52" t="inlineStr">
        <is>
          <t>VÄSTRA GÖTALANDS LÄN</t>
        </is>
      </c>
      <c r="G52" t="inlineStr">
        <is>
          <t>MUNKEDAL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46261</v>
      </c>
      <c r="F53" t="inlineStr">
        <is>
          <t>VÄSTRA GÖTALANDS LÄN</t>
        </is>
      </c>
      <c r="G53" t="inlineStr">
        <is>
          <t>MUNKEDAL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46261</v>
      </c>
      <c r="F54" t="inlineStr">
        <is>
          <t>VÄSTRA GÖTALANDS LÄN</t>
        </is>
      </c>
      <c r="G54" t="inlineStr">
        <is>
          <t>MUNKEDAL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68596-2021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46261</v>
      </c>
      <c r="F55" t="inlineStr">
        <is>
          <t>VÄSTRA GÖTALANDS LÄN</t>
        </is>
      </c>
      <c r="G55" t="inlineStr">
        <is>
          <t>MUNKEDAL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46261</v>
      </c>
      <c r="F56" t="inlineStr">
        <is>
          <t>VÄSTRA GÖTALANDS LÄN</t>
        </is>
      </c>
      <c r="G56" t="inlineStr">
        <is>
          <t>MUNKEDAL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46261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46261</v>
      </c>
      <c r="F58" t="inlineStr">
        <is>
          <t>VÄSTRA GÖTALANDS LÄN</t>
        </is>
      </c>
      <c r="G58" t="inlineStr">
        <is>
          <t>MUNKEDAL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46261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46261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44774</v>
      </c>
      <c r="E61" s="1" t="n">
        <v>46261</v>
      </c>
      <c r="F61" t="inlineStr">
        <is>
          <t>VÄSTRA GÖTALANDS LÄN</t>
        </is>
      </c>
      <c r="G61" t="inlineStr">
        <is>
          <t>MUNKEDAL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58617-2023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45251</v>
      </c>
      <c r="E62" s="1" t="n">
        <v>46261</v>
      </c>
      <c r="F62" t="inlineStr">
        <is>
          <t>VÄSTRA GÖTALANDS LÄN</t>
        </is>
      </c>
      <c r="G62" t="inlineStr">
        <is>
          <t>MUNKEDAL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46261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46261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Övriga Aktiebolag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45261</v>
      </c>
      <c r="E65" s="1" t="n">
        <v>46261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45393</v>
      </c>
      <c r="E66" s="1" t="n">
        <v>46261</v>
      </c>
      <c r="F66" t="inlineStr">
        <is>
          <t>VÄSTRA GÖTALANDS LÄN</t>
        </is>
      </c>
      <c r="G66" t="inlineStr">
        <is>
          <t>MUNKEDAL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46261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Kyrkan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45755</v>
      </c>
      <c r="E68" s="1" t="n">
        <v>46261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46261</v>
      </c>
      <c r="F69" t="inlineStr">
        <is>
          <t>VÄSTRA GÖTALANDS LÄN</t>
        </is>
      </c>
      <c r="G69" t="inlineStr">
        <is>
          <t>MUNKEDAL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45401</v>
      </c>
      <c r="E70" s="1" t="n">
        <v>46261</v>
      </c>
      <c r="F70" t="inlineStr">
        <is>
          <t>VÄSTRA GÖTALANDS LÄN</t>
        </is>
      </c>
      <c r="G70" t="inlineStr">
        <is>
          <t>MUNKEDAL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46261</v>
      </c>
      <c r="F71" t="inlineStr">
        <is>
          <t>VÄSTRA GÖTALANDS LÄN</t>
        </is>
      </c>
      <c r="G71" t="inlineStr">
        <is>
          <t>MUNKEDAL</t>
        </is>
      </c>
      <c r="I71" t="n">
        <v>12.7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45408</v>
      </c>
      <c r="E72" s="1" t="n">
        <v>46261</v>
      </c>
      <c r="F72" t="inlineStr">
        <is>
          <t>VÄSTRA GÖTALANDS LÄN</t>
        </is>
      </c>
      <c r="G72" t="inlineStr">
        <is>
          <t>MUNKEDAL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46261</v>
      </c>
      <c r="F73" t="inlineStr">
        <is>
          <t>VÄSTRA GÖTALANDS LÄN</t>
        </is>
      </c>
      <c r="G73" t="inlineStr">
        <is>
          <t>MUNKEDAL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45720</v>
      </c>
      <c r="E74" s="1" t="n">
        <v>46261</v>
      </c>
      <c r="F74" t="inlineStr">
        <is>
          <t>VÄSTRA GÖTALANDS LÄN</t>
        </is>
      </c>
      <c r="G74" t="inlineStr">
        <is>
          <t>MUNKEDAL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46261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46261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26.5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46261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45696</v>
      </c>
      <c r="E78" s="1" t="n">
        <v>46261</v>
      </c>
      <c r="F78" t="inlineStr">
        <is>
          <t>VÄSTRA GÖTALANDS LÄN</t>
        </is>
      </c>
      <c r="G78" t="inlineStr">
        <is>
          <t>MUNKEDAL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46261</v>
      </c>
      <c r="F79" t="inlineStr">
        <is>
          <t>VÄSTRA GÖTALANDS LÄN</t>
        </is>
      </c>
      <c r="G79" t="inlineStr">
        <is>
          <t>MUNKEDAL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46022</v>
      </c>
      <c r="E80" s="1" t="n">
        <v>46261</v>
      </c>
      <c r="F80" t="inlineStr">
        <is>
          <t>VÄSTRA GÖTALANDS LÄN</t>
        </is>
      </c>
      <c r="G80" t="inlineStr">
        <is>
          <t>MUNKEDAL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46022</v>
      </c>
      <c r="E81" s="1" t="n">
        <v>46261</v>
      </c>
      <c r="F81" t="inlineStr">
        <is>
          <t>VÄSTRA GÖTALANDS LÄN</t>
        </is>
      </c>
      <c r="G81" t="inlineStr">
        <is>
          <t>MUNKEDAL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46030</v>
      </c>
      <c r="E82" s="1" t="n">
        <v>46261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46261</v>
      </c>
      <c r="F83" t="inlineStr">
        <is>
          <t>VÄSTRA GÖTALANDS LÄN</t>
        </is>
      </c>
      <c r="G83" t="inlineStr">
        <is>
          <t>MUNKEDAL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46261</v>
      </c>
      <c r="F84" t="inlineStr">
        <is>
          <t>VÄSTRA GÖTALANDS LÄN</t>
        </is>
      </c>
      <c r="G84" t="inlineStr">
        <is>
          <t>MUNKEDAL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45797</v>
      </c>
      <c r="E85" s="1" t="n">
        <v>46261</v>
      </c>
      <c r="F85" t="inlineStr">
        <is>
          <t>VÄSTRA GÖTALANDS LÄN</t>
        </is>
      </c>
      <c r="G85" t="inlineStr">
        <is>
          <t>MUNKEDAL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51411-2022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46261</v>
      </c>
      <c r="F86" t="inlineStr">
        <is>
          <t>VÄSTRA GÖTALANDS LÄN</t>
        </is>
      </c>
      <c r="G86" t="inlineStr">
        <is>
          <t>MUNKEDAL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44482-2023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45189</v>
      </c>
      <c r="E87" s="1" t="n">
        <v>46261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46261</v>
      </c>
      <c r="F88" t="inlineStr">
        <is>
          <t>VÄSTRA GÖTALANDS LÄN</t>
        </is>
      </c>
      <c r="G88" t="inlineStr">
        <is>
          <t>MUNKEDAL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46261</v>
      </c>
      <c r="F89" t="inlineStr">
        <is>
          <t>VÄSTRA GÖTALANDS LÄN</t>
        </is>
      </c>
      <c r="G89" t="inlineStr">
        <is>
          <t>MUNKEDAL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46261</v>
      </c>
      <c r="F90" t="inlineStr">
        <is>
          <t>VÄSTRA GÖTALANDS LÄN</t>
        </is>
      </c>
      <c r="G90" t="inlineStr">
        <is>
          <t>MUNKEDAL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46261</v>
      </c>
      <c r="F91" t="inlineStr">
        <is>
          <t>VÄSTRA GÖTALANDS LÄN</t>
        </is>
      </c>
      <c r="G91" t="inlineStr">
        <is>
          <t>MUNKEDAL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46261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46261</v>
      </c>
      <c r="F93" t="inlineStr">
        <is>
          <t>VÄSTRA GÖTALANDS LÄN</t>
        </is>
      </c>
      <c r="G93" t="inlineStr">
        <is>
          <t>MUNKEDAL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46261</v>
      </c>
      <c r="F94" t="inlineStr">
        <is>
          <t>VÄSTRA GÖTALANDS LÄN</t>
        </is>
      </c>
      <c r="G94" t="inlineStr">
        <is>
          <t>MUNKEDAL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46261</v>
      </c>
      <c r="F95" t="inlineStr">
        <is>
          <t>VÄSTRA GÖTALANDS LÄN</t>
        </is>
      </c>
      <c r="G95" t="inlineStr">
        <is>
          <t>MUNKEDAL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46261</v>
      </c>
      <c r="F96" t="inlineStr">
        <is>
          <t>VÄSTRA GÖTALANDS LÄN</t>
        </is>
      </c>
      <c r="G96" t="inlineStr">
        <is>
          <t>MUNKEDAL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46261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46261</v>
      </c>
      <c r="F98" t="inlineStr">
        <is>
          <t>VÄSTRA GÖTALANDS LÄN</t>
        </is>
      </c>
      <c r="G98" t="inlineStr">
        <is>
          <t>MUNKEDAL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46261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46261</v>
      </c>
      <c r="F100" t="inlineStr">
        <is>
          <t>VÄSTRA GÖTALANDS LÄN</t>
        </is>
      </c>
      <c r="G100" t="inlineStr">
        <is>
          <t>MUNKEDAL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46261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Naturvårdsverket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45154</v>
      </c>
      <c r="E102" s="1" t="n">
        <v>46261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46261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46261</v>
      </c>
      <c r="F104" t="inlineStr">
        <is>
          <t>VÄSTRA GÖTALANDS LÄN</t>
        </is>
      </c>
      <c r="G104" t="inlineStr">
        <is>
          <t>MUNKEDAL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46047</v>
      </c>
      <c r="E105" s="1" t="n">
        <v>46261</v>
      </c>
      <c r="F105" t="inlineStr">
        <is>
          <t>VÄSTRA GÖTALANDS LÄN</t>
        </is>
      </c>
      <c r="G105" t="inlineStr">
        <is>
          <t>MUNKEDAL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46261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Kyrkan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45557</v>
      </c>
      <c r="E107" s="1" t="n">
        <v>46261</v>
      </c>
      <c r="F107" t="inlineStr">
        <is>
          <t>VÄSTRA GÖTALANDS LÄN</t>
        </is>
      </c>
      <c r="G107" t="inlineStr">
        <is>
          <t>MUNKEDAL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46261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46261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Kyrkan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46261</v>
      </c>
      <c r="F110" t="inlineStr">
        <is>
          <t>VÄSTRA GÖTALANDS LÄN</t>
        </is>
      </c>
      <c r="G110" t="inlineStr">
        <is>
          <t>MUNKEDAL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46052</v>
      </c>
      <c r="E111" s="1" t="n">
        <v>46261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46261</v>
      </c>
      <c r="F112" t="inlineStr">
        <is>
          <t>VÄSTRA GÖTALANDS LÄN</t>
        </is>
      </c>
      <c r="G112" t="inlineStr">
        <is>
          <t>MUNKEDAL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46261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46261</v>
      </c>
      <c r="F114" t="inlineStr">
        <is>
          <t>VÄSTRA GÖTALANDS LÄN</t>
        </is>
      </c>
      <c r="G114" t="inlineStr">
        <is>
          <t>MUNKEDAL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46261</v>
      </c>
      <c r="F115" t="inlineStr">
        <is>
          <t>VÄSTRA GÖTALANDS LÄN</t>
        </is>
      </c>
      <c r="G115" t="inlineStr">
        <is>
          <t>MUNKEDAL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46261</v>
      </c>
      <c r="F116" t="inlineStr">
        <is>
          <t>VÄSTRA GÖTALANDS LÄN</t>
        </is>
      </c>
      <c r="G116" t="inlineStr">
        <is>
          <t>MUNKEDAL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46261</v>
      </c>
      <c r="F117" t="inlineStr">
        <is>
          <t>VÄSTRA GÖTALANDS LÄN</t>
        </is>
      </c>
      <c r="G117" t="inlineStr">
        <is>
          <t>MUNKEDAL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46261</v>
      </c>
      <c r="F118" t="inlineStr">
        <is>
          <t>VÄSTRA GÖTALANDS LÄN</t>
        </is>
      </c>
      <c r="G118" t="inlineStr">
        <is>
          <t>MUNKEDAL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46261</v>
      </c>
      <c r="F119" t="inlineStr">
        <is>
          <t>VÄSTRA GÖTALANDS LÄN</t>
        </is>
      </c>
      <c r="G119" t="inlineStr">
        <is>
          <t>MUNKEDAL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46261</v>
      </c>
      <c r="F120" t="inlineStr">
        <is>
          <t>VÄSTRA GÖTALANDS LÄN</t>
        </is>
      </c>
      <c r="G120" t="inlineStr">
        <is>
          <t>MUNKEDAL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46261</v>
      </c>
      <c r="F121" t="inlineStr">
        <is>
          <t>VÄSTRA GÖTALANDS LÄN</t>
        </is>
      </c>
      <c r="G121" t="inlineStr">
        <is>
          <t>MUNKEDAL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46261</v>
      </c>
      <c r="F122" t="inlineStr">
        <is>
          <t>VÄSTRA GÖTALANDS LÄN</t>
        </is>
      </c>
      <c r="G122" t="inlineStr">
        <is>
          <t>MUNKEDAL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46261</v>
      </c>
      <c r="F123" t="inlineStr">
        <is>
          <t>VÄSTRA GÖTALANDS LÄN</t>
        </is>
      </c>
      <c r="G123" t="inlineStr">
        <is>
          <t>MUNKEDAL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46261</v>
      </c>
      <c r="F124" t="inlineStr">
        <is>
          <t>VÄSTRA GÖTALANDS LÄN</t>
        </is>
      </c>
      <c r="G124" t="inlineStr">
        <is>
          <t>MUNKEDAL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46261</v>
      </c>
      <c r="F125" t="inlineStr">
        <is>
          <t>VÄSTRA GÖTALANDS LÄN</t>
        </is>
      </c>
      <c r="G125" t="inlineStr">
        <is>
          <t>MUNKEDAL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46261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46261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46261</v>
      </c>
      <c r="F128" t="inlineStr">
        <is>
          <t>VÄSTRA GÖTALANDS LÄN</t>
        </is>
      </c>
      <c r="G128" t="inlineStr">
        <is>
          <t>MUNKEDAL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46261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46261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46261</v>
      </c>
      <c r="F131" t="inlineStr">
        <is>
          <t>VÄSTRA GÖTALANDS LÄN</t>
        </is>
      </c>
      <c r="G131" t="inlineStr">
        <is>
          <t>MUNKEDAL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46261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46261</v>
      </c>
      <c r="F133" t="inlineStr">
        <is>
          <t>VÄSTRA GÖTALANDS LÄN</t>
        </is>
      </c>
      <c r="G133" t="inlineStr">
        <is>
          <t>MUNKEDAL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46261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46073</v>
      </c>
      <c r="E135" s="1" t="n">
        <v>46261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46261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46261</v>
      </c>
      <c r="F137" t="inlineStr">
        <is>
          <t>VÄSTRA GÖTALANDS LÄN</t>
        </is>
      </c>
      <c r="G137" t="inlineStr">
        <is>
          <t>MUNKEDAL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45921</v>
      </c>
      <c r="E138" s="1" t="n">
        <v>46261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46261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46261</v>
      </c>
      <c r="F140" t="inlineStr">
        <is>
          <t>VÄSTRA GÖTALANDS LÄN</t>
        </is>
      </c>
      <c r="G140" t="inlineStr">
        <is>
          <t>MUNKEDAL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46261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45488</v>
      </c>
      <c r="E142" s="1" t="n">
        <v>46261</v>
      </c>
      <c r="F142" t="inlineStr">
        <is>
          <t>VÄSTRA GÖTALANDS LÄN</t>
        </is>
      </c>
      <c r="G142" t="inlineStr">
        <is>
          <t>MUNKEDAL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46261</v>
      </c>
      <c r="F143" t="inlineStr">
        <is>
          <t>VÄSTRA GÖTALANDS LÄN</t>
        </is>
      </c>
      <c r="G143" t="inlineStr">
        <is>
          <t>MUNKEDAL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46261</v>
      </c>
      <c r="F144" t="inlineStr">
        <is>
          <t>VÄSTRA GÖTALANDS LÄN</t>
        </is>
      </c>
      <c r="G144" t="inlineStr">
        <is>
          <t>MUNKEDAL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46261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46261</v>
      </c>
      <c r="F146" t="inlineStr">
        <is>
          <t>VÄSTRA GÖTALANDS LÄN</t>
        </is>
      </c>
      <c r="G146" t="inlineStr">
        <is>
          <t>MUNKEDAL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46261</v>
      </c>
      <c r="F147" t="inlineStr">
        <is>
          <t>VÄSTRA GÖTALANDS LÄN</t>
        </is>
      </c>
      <c r="G147" t="inlineStr">
        <is>
          <t>MUNKEDAL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46261</v>
      </c>
      <c r="F148" t="inlineStr">
        <is>
          <t>VÄSTRA GÖTALANDS LÄN</t>
        </is>
      </c>
      <c r="G148" t="inlineStr">
        <is>
          <t>MUNKEDAL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46261</v>
      </c>
      <c r="F149" t="inlineStr">
        <is>
          <t>VÄSTRA GÖTALANDS LÄN</t>
        </is>
      </c>
      <c r="G149" t="inlineStr">
        <is>
          <t>MUNKEDAL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46261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46261</v>
      </c>
      <c r="F151" t="inlineStr">
        <is>
          <t>VÄSTRA GÖTALANDS LÄN</t>
        </is>
      </c>
      <c r="G151" t="inlineStr">
        <is>
          <t>MUNKEDAL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46261</v>
      </c>
      <c r="F152" t="inlineStr">
        <is>
          <t>VÄSTRA GÖTALANDS LÄN</t>
        </is>
      </c>
      <c r="G152" t="inlineStr">
        <is>
          <t>MUNKEDAL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46261</v>
      </c>
      <c r="F153" t="inlineStr">
        <is>
          <t>VÄSTRA GÖTALANDS LÄN</t>
        </is>
      </c>
      <c r="G153" t="inlineStr">
        <is>
          <t>MUNKEDAL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46261</v>
      </c>
      <c r="F154" t="inlineStr">
        <is>
          <t>VÄSTRA GÖTALANDS LÄN</t>
        </is>
      </c>
      <c r="G154" t="inlineStr">
        <is>
          <t>MUNKEDAL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45244</v>
      </c>
      <c r="E155" s="1" t="n">
        <v>46261</v>
      </c>
      <c r="F155" t="inlineStr">
        <is>
          <t>VÄSTRA GÖTALANDS LÄN</t>
        </is>
      </c>
      <c r="G155" t="inlineStr">
        <is>
          <t>MUNKEDAL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46091</v>
      </c>
      <c r="E156" s="1" t="n">
        <v>46261</v>
      </c>
      <c r="F156" t="inlineStr">
        <is>
          <t>VÄSTRA GÖTALANDS LÄN</t>
        </is>
      </c>
      <c r="G156" t="inlineStr">
        <is>
          <t>MUNKEDAL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46261</v>
      </c>
      <c r="F157" t="inlineStr">
        <is>
          <t>VÄSTRA GÖTALANDS LÄN</t>
        </is>
      </c>
      <c r="G157" t="inlineStr">
        <is>
          <t>MUNKEDAL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46261</v>
      </c>
      <c r="F158" t="inlineStr">
        <is>
          <t>VÄSTRA GÖTALANDS LÄN</t>
        </is>
      </c>
      <c r="G158" t="inlineStr">
        <is>
          <t>MUNKEDAL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46261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46261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46261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46261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46261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46261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46261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46261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46261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46261</v>
      </c>
      <c r="F168" t="inlineStr">
        <is>
          <t>VÄSTRA GÖTALANDS LÄN</t>
        </is>
      </c>
      <c r="G168" t="inlineStr">
        <is>
          <t>MUNKEDAL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46261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46101</v>
      </c>
      <c r="E170" s="1" t="n">
        <v>46261</v>
      </c>
      <c r="F170" t="inlineStr">
        <is>
          <t>VÄSTRA GÖTALANDS LÄN</t>
        </is>
      </c>
      <c r="G170" t="inlineStr">
        <is>
          <t>MUNKEDAL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45261</v>
      </c>
      <c r="E171" s="1" t="n">
        <v>46261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46261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46261</v>
      </c>
      <c r="F173" t="inlineStr">
        <is>
          <t>VÄSTRA GÖTALANDS LÄN</t>
        </is>
      </c>
      <c r="G173" t="inlineStr">
        <is>
          <t>MUNKEDAL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46261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46261</v>
      </c>
      <c r="F175" t="inlineStr">
        <is>
          <t>VÄSTRA GÖTALANDS LÄN</t>
        </is>
      </c>
      <c r="G175" t="inlineStr">
        <is>
          <t>MUNKEDAL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46261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46261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46261</v>
      </c>
      <c r="F178" t="inlineStr">
        <is>
          <t>VÄSTRA GÖTALANDS LÄN</t>
        </is>
      </c>
      <c r="G178" t="inlineStr">
        <is>
          <t>MUNKEDAL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46261</v>
      </c>
      <c r="F179" t="inlineStr">
        <is>
          <t>VÄSTRA GÖTALANDS LÄN</t>
        </is>
      </c>
      <c r="G179" t="inlineStr">
        <is>
          <t>MUNKEDAL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46261</v>
      </c>
      <c r="F180" t="inlineStr">
        <is>
          <t>VÄSTRA GÖTALANDS LÄN</t>
        </is>
      </c>
      <c r="G180" t="inlineStr">
        <is>
          <t>MUNKEDAL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46261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46261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46261</v>
      </c>
      <c r="F183" t="inlineStr">
        <is>
          <t>VÄSTRA GÖTALANDS LÄN</t>
        </is>
      </c>
      <c r="G183" t="inlineStr">
        <is>
          <t>MUNKEDAL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46261</v>
      </c>
      <c r="F184" t="inlineStr">
        <is>
          <t>VÄSTRA GÖTALANDS LÄN</t>
        </is>
      </c>
      <c r="G184" t="inlineStr">
        <is>
          <t>MUNKEDAL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45709</v>
      </c>
      <c r="E185" s="1" t="n">
        <v>46261</v>
      </c>
      <c r="F185" t="inlineStr">
        <is>
          <t>VÄSTRA GÖTALANDS LÄN</t>
        </is>
      </c>
      <c r="G185" t="inlineStr">
        <is>
          <t>MUNKEDAL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46261</v>
      </c>
      <c r="F186" t="inlineStr">
        <is>
          <t>VÄSTRA GÖTALANDS LÄN</t>
        </is>
      </c>
      <c r="G186" t="inlineStr">
        <is>
          <t>MUNKEDAL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45881</v>
      </c>
      <c r="E187" s="1" t="n">
        <v>46261</v>
      </c>
      <c r="F187" t="inlineStr">
        <is>
          <t>VÄSTRA GÖTALANDS LÄN</t>
        </is>
      </c>
      <c r="G187" t="inlineStr">
        <is>
          <t>MUNKEDAL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46261</v>
      </c>
      <c r="F188" t="inlineStr">
        <is>
          <t>VÄSTRA GÖTALANDS LÄN</t>
        </is>
      </c>
      <c r="G188" t="inlineStr">
        <is>
          <t>MUNKEDAL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46261</v>
      </c>
      <c r="F189" t="inlineStr">
        <is>
          <t>VÄSTRA GÖTALANDS LÄN</t>
        </is>
      </c>
      <c r="G189" t="inlineStr">
        <is>
          <t>MUNKEDAL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46261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46261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46261</v>
      </c>
      <c r="F192" t="inlineStr">
        <is>
          <t>VÄSTRA GÖTALANDS LÄN</t>
        </is>
      </c>
      <c r="G192" t="inlineStr">
        <is>
          <t>MUNKEDAL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46261</v>
      </c>
      <c r="F193" t="inlineStr">
        <is>
          <t>VÄSTRA GÖTALANDS LÄN</t>
        </is>
      </c>
      <c r="G193" t="inlineStr">
        <is>
          <t>MUNKEDAL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46134</v>
      </c>
      <c r="E194" s="1" t="n">
        <v>46261</v>
      </c>
      <c r="F194" t="inlineStr">
        <is>
          <t>VÄSTRA GÖTALANDS LÄN</t>
        </is>
      </c>
      <c r="G194" t="inlineStr">
        <is>
          <t>MUNKEDAL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46261</v>
      </c>
      <c r="F195" t="inlineStr">
        <is>
          <t>VÄSTRA GÖTALANDS LÄN</t>
        </is>
      </c>
      <c r="G195" t="inlineStr">
        <is>
          <t>MUNKEDAL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46261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46261</v>
      </c>
      <c r="F197" t="inlineStr">
        <is>
          <t>VÄSTRA GÖTALANDS LÄN</t>
        </is>
      </c>
      <c r="G197" t="inlineStr">
        <is>
          <t>MUNKEDAL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45522</v>
      </c>
      <c r="E198" s="1" t="n">
        <v>46261</v>
      </c>
      <c r="F198" t="inlineStr">
        <is>
          <t>VÄSTRA GÖTALANDS LÄN</t>
        </is>
      </c>
      <c r="G198" t="inlineStr">
        <is>
          <t>MUNKEDAL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44897</v>
      </c>
      <c r="E199" s="1" t="n">
        <v>46261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46261</v>
      </c>
      <c r="F200" t="inlineStr">
        <is>
          <t>VÄSTRA GÖTALANDS LÄN</t>
        </is>
      </c>
      <c r="G200" t="inlineStr">
        <is>
          <t>MUNKEDAL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46261</v>
      </c>
      <c r="F201" t="inlineStr">
        <is>
          <t>VÄSTRA GÖTALANDS LÄN</t>
        </is>
      </c>
      <c r="G201" t="inlineStr">
        <is>
          <t>MUNKEDAL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46261</v>
      </c>
      <c r="F202" t="inlineStr">
        <is>
          <t>VÄSTRA GÖTALANDS LÄN</t>
        </is>
      </c>
      <c r="G202" t="inlineStr">
        <is>
          <t>MUNKEDAL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46261</v>
      </c>
      <c r="F203" t="inlineStr">
        <is>
          <t>VÄSTRA GÖTALANDS LÄN</t>
        </is>
      </c>
      <c r="G203" t="inlineStr">
        <is>
          <t>MUNKEDAL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46261</v>
      </c>
      <c r="F204" t="inlineStr">
        <is>
          <t>VÄSTRA GÖTALANDS LÄN</t>
        </is>
      </c>
      <c r="G204" t="inlineStr">
        <is>
          <t>MUNKEDAL</t>
        </is>
      </c>
      <c r="I204" t="n">
        <v>16.3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46261</v>
      </c>
      <c r="F205" t="inlineStr">
        <is>
          <t>VÄSTRA GÖTALANDS LÄN</t>
        </is>
      </c>
      <c r="G205" t="inlineStr">
        <is>
          <t>MUNKEDAL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46261</v>
      </c>
      <c r="F206" t="inlineStr">
        <is>
          <t>VÄSTRA GÖTALANDS LÄN</t>
        </is>
      </c>
      <c r="G206" t="inlineStr">
        <is>
          <t>MUNKEDAL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46261</v>
      </c>
      <c r="F207" t="inlineStr">
        <is>
          <t>VÄSTRA GÖTALANDS LÄN</t>
        </is>
      </c>
      <c r="G207" t="inlineStr">
        <is>
          <t>MUNKEDAL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45388</v>
      </c>
      <c r="E208" s="1" t="n">
        <v>46261</v>
      </c>
      <c r="F208" t="inlineStr">
        <is>
          <t>VÄSTRA GÖTALANDS LÄN</t>
        </is>
      </c>
      <c r="G208" t="inlineStr">
        <is>
          <t>MUNKEDAL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46261</v>
      </c>
      <c r="F209" t="inlineStr">
        <is>
          <t>VÄSTRA GÖTALANDS LÄN</t>
        </is>
      </c>
      <c r="G209" t="inlineStr">
        <is>
          <t>MUNKEDAL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46261</v>
      </c>
      <c r="F210" t="inlineStr">
        <is>
          <t>VÄSTRA GÖTALANDS LÄN</t>
        </is>
      </c>
      <c r="G210" t="inlineStr">
        <is>
          <t>MUNKEDAL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46261</v>
      </c>
      <c r="F211" t="inlineStr">
        <is>
          <t>VÄSTRA GÖTALANDS LÄN</t>
        </is>
      </c>
      <c r="G211" t="inlineStr">
        <is>
          <t>MUNKEDAL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46261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45072</v>
      </c>
      <c r="E213" s="1" t="n">
        <v>46261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Kommuner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46261</v>
      </c>
      <c r="F214" t="inlineStr">
        <is>
          <t>VÄSTRA GÖTALANDS LÄN</t>
        </is>
      </c>
      <c r="G214" t="inlineStr">
        <is>
          <t>MUNKEDAL</t>
        </is>
      </c>
      <c r="I214" t="n">
        <v>17.5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46261</v>
      </c>
      <c r="F215" t="inlineStr">
        <is>
          <t>VÄSTRA GÖTALANDS LÄN</t>
        </is>
      </c>
      <c r="G215" t="inlineStr">
        <is>
          <t>MUNKEDAL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46261</v>
      </c>
      <c r="F216" t="inlineStr">
        <is>
          <t>VÄSTRA GÖTALANDS LÄN</t>
        </is>
      </c>
      <c r="G216" t="inlineStr">
        <is>
          <t>MUNKEDAL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46261</v>
      </c>
      <c r="F217" t="inlineStr">
        <is>
          <t>VÄSTRA GÖTALANDS LÄN</t>
        </is>
      </c>
      <c r="G217" t="inlineStr">
        <is>
          <t>MUNKEDAL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46261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46261</v>
      </c>
      <c r="F219" t="inlineStr">
        <is>
          <t>VÄSTRA GÖTALANDS LÄN</t>
        </is>
      </c>
      <c r="G219" t="inlineStr">
        <is>
          <t>MUNKEDAL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45355</v>
      </c>
      <c r="E220" s="1" t="n">
        <v>46261</v>
      </c>
      <c r="F220" t="inlineStr">
        <is>
          <t>VÄSTRA GÖTALANDS LÄN</t>
        </is>
      </c>
      <c r="G220" t="inlineStr">
        <is>
          <t>MUNKEDAL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46261</v>
      </c>
      <c r="F221" t="inlineStr">
        <is>
          <t>VÄSTRA GÖTALANDS LÄN</t>
        </is>
      </c>
      <c r="G221" t="inlineStr">
        <is>
          <t>MUNKEDAL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46261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Kyrkan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45560</v>
      </c>
      <c r="E223" s="1" t="n">
        <v>46261</v>
      </c>
      <c r="F223" t="inlineStr">
        <is>
          <t>VÄSTRA GÖTALANDS LÄN</t>
        </is>
      </c>
      <c r="G223" t="inlineStr">
        <is>
          <t>MUNKEDAL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46261</v>
      </c>
      <c r="F224" t="inlineStr">
        <is>
          <t>VÄSTRA GÖTALANDS LÄN</t>
        </is>
      </c>
      <c r="G224" t="inlineStr">
        <is>
          <t>MUNKEDAL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46261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46261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46261</v>
      </c>
      <c r="F227" t="inlineStr">
        <is>
          <t>VÄSTRA GÖTALANDS LÄN</t>
        </is>
      </c>
      <c r="G227" t="inlineStr">
        <is>
          <t>MUNKEDAL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46261</v>
      </c>
      <c r="F228" t="inlineStr">
        <is>
          <t>VÄSTRA GÖTALANDS LÄN</t>
        </is>
      </c>
      <c r="G228" t="inlineStr">
        <is>
          <t>MUNKEDAL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46261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Kommuner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46261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46261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45233</v>
      </c>
      <c r="E232" s="1" t="n">
        <v>46261</v>
      </c>
      <c r="F232" t="inlineStr">
        <is>
          <t>VÄSTRA GÖTALANDS LÄN</t>
        </is>
      </c>
      <c r="G232" t="inlineStr">
        <is>
          <t>MUNKEDAL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46160</v>
      </c>
      <c r="E233" s="1" t="n">
        <v>46261</v>
      </c>
      <c r="F233" t="inlineStr">
        <is>
          <t>VÄSTRA GÖTALANDS LÄN</t>
        </is>
      </c>
      <c r="G233" t="inlineStr">
        <is>
          <t>MUNKEDAL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45618</v>
      </c>
      <c r="E234" s="1" t="n">
        <v>46261</v>
      </c>
      <c r="F234" t="inlineStr">
        <is>
          <t>VÄSTRA GÖTALANDS LÄN</t>
        </is>
      </c>
      <c r="G234" t="inlineStr">
        <is>
          <t>MUNKEDAL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46261</v>
      </c>
      <c r="F235" t="inlineStr">
        <is>
          <t>VÄSTRA GÖTALANDS LÄN</t>
        </is>
      </c>
      <c r="G235" t="inlineStr">
        <is>
          <t>MUNKEDAL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29515-2026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46261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statliga verk och myndigheter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44929</v>
      </c>
      <c r="E237" s="1" t="n">
        <v>46261</v>
      </c>
      <c r="F237" t="inlineStr">
        <is>
          <t>VÄSTRA GÖTALANDS LÄN</t>
        </is>
      </c>
      <c r="G237" t="inlineStr">
        <is>
          <t>MUNKEDAL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46261</v>
      </c>
      <c r="F238" t="inlineStr">
        <is>
          <t>VÄSTRA GÖTALANDS LÄN</t>
        </is>
      </c>
      <c r="G238" t="inlineStr">
        <is>
          <t>MUNKEDAL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59257-2024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46261</v>
      </c>
      <c r="F239" t="inlineStr">
        <is>
          <t>VÄSTRA GÖTALANDS LÄN</t>
        </is>
      </c>
      <c r="G239" t="inlineStr">
        <is>
          <t>MUNKEDAL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46261</v>
      </c>
      <c r="F240" t="inlineStr">
        <is>
          <t>VÄSTRA GÖTALANDS LÄN</t>
        </is>
      </c>
      <c r="G240" t="inlineStr">
        <is>
          <t>MUNKEDAL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46261</v>
      </c>
      <c r="F241" t="inlineStr">
        <is>
          <t>VÄSTRA GÖTALANDS LÄN</t>
        </is>
      </c>
      <c r="G241" t="inlineStr">
        <is>
          <t>MUNKEDAL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46261</v>
      </c>
      <c r="F242" t="inlineStr">
        <is>
          <t>VÄSTRA GÖTALANDS LÄN</t>
        </is>
      </c>
      <c r="G242" t="inlineStr">
        <is>
          <t>MUNKEDAL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46261</v>
      </c>
      <c r="F243" t="inlineStr">
        <is>
          <t>VÄSTRA GÖTALANDS LÄN</t>
        </is>
      </c>
      <c r="G243" t="inlineStr">
        <is>
          <t>MUNKEDAL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45174</v>
      </c>
      <c r="E244" s="1" t="n">
        <v>46261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46261</v>
      </c>
      <c r="F245" t="inlineStr">
        <is>
          <t>VÄSTRA GÖTALANDS LÄN</t>
        </is>
      </c>
      <c r="G245" t="inlineStr">
        <is>
          <t>MUNKEDAL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46261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Kommuner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46261</v>
      </c>
      <c r="F247" t="inlineStr">
        <is>
          <t>VÄSTRA GÖTALANDS LÄN</t>
        </is>
      </c>
      <c r="G247" t="inlineStr">
        <is>
          <t>MUNKEDAL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45640</v>
      </c>
      <c r="E248" s="1" t="n">
        <v>46261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45640</v>
      </c>
      <c r="E249" s="1" t="n">
        <v>46261</v>
      </c>
      <c r="F249" t="inlineStr">
        <is>
          <t>VÄSTRA GÖTALANDS LÄN</t>
        </is>
      </c>
      <c r="G249" t="inlineStr">
        <is>
          <t>MUNKEDAL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44608</v>
      </c>
      <c r="E250" s="1" t="n">
        <v>46261</v>
      </c>
      <c r="F250" t="inlineStr">
        <is>
          <t>VÄSTRA GÖTALANDS LÄN</t>
        </is>
      </c>
      <c r="G250" t="inlineStr">
        <is>
          <t>MUNKEDAL</t>
        </is>
      </c>
      <c r="I250" t="n">
        <v>15.4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45664</v>
      </c>
      <c r="E251" s="1" t="n">
        <v>46261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46261</v>
      </c>
      <c r="F252" t="inlineStr">
        <is>
          <t>VÄSTRA GÖTALANDS LÄN</t>
        </is>
      </c>
      <c r="G252" t="inlineStr">
        <is>
          <t>MUNKEDAL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46261</v>
      </c>
      <c r="F253" t="inlineStr">
        <is>
          <t>VÄSTRA GÖTALANDS LÄN</t>
        </is>
      </c>
      <c r="G253" t="inlineStr">
        <is>
          <t>MUNKEDAL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44748</v>
      </c>
      <c r="E254" s="1" t="n">
        <v>46261</v>
      </c>
      <c r="F254" t="inlineStr">
        <is>
          <t>VÄSTRA GÖTALANDS LÄN</t>
        </is>
      </c>
      <c r="G254" t="inlineStr">
        <is>
          <t>MUNKEDAL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46261</v>
      </c>
      <c r="F255" t="inlineStr">
        <is>
          <t>VÄSTRA GÖTALANDS LÄN</t>
        </is>
      </c>
      <c r="G255" t="inlineStr">
        <is>
          <t>MUNKEDAL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44760</v>
      </c>
      <c r="E256" s="1" t="n">
        <v>46261</v>
      </c>
      <c r="F256" t="inlineStr">
        <is>
          <t>VÄSTRA GÖTALANDS LÄN</t>
        </is>
      </c>
      <c r="G256" t="inlineStr">
        <is>
          <t>MUNKEDAL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46261</v>
      </c>
      <c r="F257" t="inlineStr">
        <is>
          <t>VÄSTRA GÖTALANDS LÄN</t>
        </is>
      </c>
      <c r="G257" t="inlineStr">
        <is>
          <t>MUNKEDAL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13303-2023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45005</v>
      </c>
      <c r="E258" s="1" t="n">
        <v>46261</v>
      </c>
      <c r="F258" t="inlineStr">
        <is>
          <t>VÄSTRA GÖTALANDS LÄN</t>
        </is>
      </c>
      <c r="G258" t="inlineStr">
        <is>
          <t>MUNKEDAL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46261</v>
      </c>
      <c r="F259" t="inlineStr">
        <is>
          <t>VÄSTRA GÖTALANDS LÄN</t>
        </is>
      </c>
      <c r="G259" t="inlineStr">
        <is>
          <t>MUNKEDAL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46261</v>
      </c>
      <c r="F260" t="inlineStr">
        <is>
          <t>VÄSTRA GÖTALANDS LÄN</t>
        </is>
      </c>
      <c r="G260" t="inlineStr">
        <is>
          <t>MUNKEDAL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45488</v>
      </c>
      <c r="E261" s="1" t="n">
        <v>46261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45489</v>
      </c>
      <c r="E262" s="1" t="n">
        <v>46261</v>
      </c>
      <c r="F262" t="inlineStr">
        <is>
          <t>VÄSTRA GÖTALANDS LÄN</t>
        </is>
      </c>
      <c r="G262" t="inlineStr">
        <is>
          <t>MUNKEDAL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38164-2022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46261</v>
      </c>
      <c r="F263" t="inlineStr">
        <is>
          <t>VÄSTRA GÖTALANDS LÄN</t>
        </is>
      </c>
      <c r="G263" t="inlineStr">
        <is>
          <t>MUNKEDAL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46261</v>
      </c>
      <c r="F264" t="inlineStr">
        <is>
          <t>VÄSTRA GÖTALANDS LÄN</t>
        </is>
      </c>
      <c r="G264" t="inlineStr">
        <is>
          <t>MUNKEDAL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59160-2022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46261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Kyrkan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44935</v>
      </c>
      <c r="E266" s="1" t="n">
        <v>46261</v>
      </c>
      <c r="F266" t="inlineStr">
        <is>
          <t>VÄSTRA GÖTALANDS LÄN</t>
        </is>
      </c>
      <c r="G266" t="inlineStr">
        <is>
          <t>MUNKEDAL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46261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11812-2025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46261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Kommuner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45055</v>
      </c>
      <c r="E269" s="1" t="n">
        <v>46261</v>
      </c>
      <c r="F269" t="inlineStr">
        <is>
          <t>VÄSTRA GÖTALANDS LÄN</t>
        </is>
      </c>
      <c r="G269" t="inlineStr">
        <is>
          <t>MUNKEDAL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46261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62331-2023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46261</v>
      </c>
      <c r="F271" t="inlineStr">
        <is>
          <t>VÄSTRA GÖTALANDS LÄN</t>
        </is>
      </c>
      <c r="G271" t="inlineStr">
        <is>
          <t>MUNKEDAL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46261</v>
      </c>
      <c r="F272" t="inlineStr">
        <is>
          <t>VÄSTRA GÖTALANDS LÄN</t>
        </is>
      </c>
      <c r="G272" t="inlineStr">
        <is>
          <t>MUNKEDAL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46261</v>
      </c>
      <c r="F273" t="inlineStr">
        <is>
          <t>VÄSTRA GÖTALANDS LÄN</t>
        </is>
      </c>
      <c r="G273" t="inlineStr">
        <is>
          <t>MUNKEDAL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45203</v>
      </c>
      <c r="E274" s="1" t="n">
        <v>46261</v>
      </c>
      <c r="F274" t="inlineStr">
        <is>
          <t>VÄSTRA GÖTALANDS LÄN</t>
        </is>
      </c>
      <c r="G274" t="inlineStr">
        <is>
          <t>MUNKEDAL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46261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46261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Naturvårdsverket</t>
        </is>
      </c>
      <c r="I276" t="n">
        <v>15.8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46261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46261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67233-2021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44523</v>
      </c>
      <c r="E279" s="1" t="n">
        <v>46261</v>
      </c>
      <c r="F279" t="inlineStr">
        <is>
          <t>VÄSTRA GÖTALANDS LÄN</t>
        </is>
      </c>
      <c r="G279" t="inlineStr">
        <is>
          <t>MUNKEDAL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44588</v>
      </c>
      <c r="E280" s="1" t="n">
        <v>46261</v>
      </c>
      <c r="F280" t="inlineStr">
        <is>
          <t>VÄSTRA GÖTALANDS LÄN</t>
        </is>
      </c>
      <c r="G280" t="inlineStr">
        <is>
          <t>MUNKEDAL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46261</v>
      </c>
      <c r="F281" t="inlineStr">
        <is>
          <t>VÄSTRA GÖTALANDS LÄN</t>
        </is>
      </c>
      <c r="G281" t="inlineStr">
        <is>
          <t>MUNKEDAL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46239</v>
      </c>
      <c r="E282" s="1" t="n">
        <v>46261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53839-2021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44467</v>
      </c>
      <c r="E283" s="1" t="n">
        <v>46261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45362</v>
      </c>
      <c r="E284" s="1" t="n">
        <v>46261</v>
      </c>
      <c r="F284" t="inlineStr">
        <is>
          <t>VÄSTRA GÖTALANDS LÄN</t>
        </is>
      </c>
      <c r="G284" t="inlineStr">
        <is>
          <t>MUNKEDAL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45296</v>
      </c>
      <c r="E285" s="1" t="n">
        <v>46261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46244</v>
      </c>
      <c r="E286" s="1" t="n">
        <v>46261</v>
      </c>
      <c r="F286" t="inlineStr">
        <is>
          <t>VÄSTRA GÖTALANDS LÄN</t>
        </is>
      </c>
      <c r="G286" t="inlineStr">
        <is>
          <t>MUNKEDAL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46261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44620-2021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44436</v>
      </c>
      <c r="E288" s="1" t="n">
        <v>46261</v>
      </c>
      <c r="F288" t="inlineStr">
        <is>
          <t>VÄSTRA GÖTALANDS LÄN</t>
        </is>
      </c>
      <c r="G288" t="inlineStr">
        <is>
          <t>MUNKEDAL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46203</v>
      </c>
      <c r="E289" s="1" t="n">
        <v>46261</v>
      </c>
      <c r="F289" t="inlineStr">
        <is>
          <t>VÄSTRA GÖTALANDS LÄN</t>
        </is>
      </c>
      <c r="G289" t="inlineStr">
        <is>
          <t>MUNKEDAL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46247</v>
      </c>
      <c r="E290" s="1" t="n">
        <v>46261</v>
      </c>
      <c r="F290" t="inlineStr">
        <is>
          <t>VÄSTRA GÖTALANDS LÄN</t>
        </is>
      </c>
      <c r="G290" t="inlineStr">
        <is>
          <t>MUNKEDAL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46247</v>
      </c>
      <c r="E291" s="1" t="n">
        <v>46261</v>
      </c>
      <c r="F291" t="inlineStr">
        <is>
          <t>VÄSTRA GÖTALANDS LÄN</t>
        </is>
      </c>
      <c r="G291" t="inlineStr">
        <is>
          <t>MUNKEDAL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45371</v>
      </c>
      <c r="E292" s="1" t="n">
        <v>46261</v>
      </c>
      <c r="F292" t="inlineStr">
        <is>
          <t>VÄSTRA GÖTALANDS LÄN</t>
        </is>
      </c>
      <c r="G292" t="inlineStr">
        <is>
          <t>MUNKEDAL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46261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46261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46209</v>
      </c>
      <c r="E295" s="1" t="n">
        <v>46261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64879-2023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45282</v>
      </c>
      <c r="E296" s="1" t="n">
        <v>46261</v>
      </c>
      <c r="F296" t="inlineStr">
        <is>
          <t>VÄSTRA GÖTALANDS LÄN</t>
        </is>
      </c>
      <c r="G296" t="inlineStr">
        <is>
          <t>MUNKEDAL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46261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46209</v>
      </c>
      <c r="E298" s="1" t="n">
        <v>46261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34288-2026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46253</v>
      </c>
      <c r="E299" s="1" t="n">
        <v>46261</v>
      </c>
      <c r="F299" t="inlineStr">
        <is>
          <t>VÄSTRA GÖTALANDS LÄN</t>
        </is>
      </c>
      <c r="G299" t="inlineStr">
        <is>
          <t>MUNKEDAL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46261</v>
      </c>
      <c r="F300" t="inlineStr">
        <is>
          <t>VÄSTRA GÖTALANDS LÄN</t>
        </is>
      </c>
      <c r="G300" t="inlineStr">
        <is>
          <t>MUNKEDAL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46253</v>
      </c>
      <c r="E301" s="1" t="n">
        <v>46261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46261</v>
      </c>
      <c r="F302" t="inlineStr">
        <is>
          <t>VÄSTRA GÖTALANDS LÄN</t>
        </is>
      </c>
      <c r="G302" t="inlineStr">
        <is>
          <t>MUNKEDAL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46254</v>
      </c>
      <c r="E303" s="1" t="n">
        <v>46261</v>
      </c>
      <c r="F303" t="inlineStr">
        <is>
          <t>VÄSTRA GÖTALANDS LÄN</t>
        </is>
      </c>
      <c r="G303" t="inlineStr">
        <is>
          <t>MUNKEDAL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44579</v>
      </c>
      <c r="E304" s="1" t="n">
        <v>46261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Kyrkan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46261</v>
      </c>
      <c r="F305" t="inlineStr">
        <is>
          <t>VÄSTRA GÖTALANDS LÄN</t>
        </is>
      </c>
      <c r="G305" t="inlineStr">
        <is>
          <t>MUNKEDAL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46253</v>
      </c>
      <c r="E306" s="1" t="n">
        <v>46261</v>
      </c>
      <c r="F306" t="inlineStr">
        <is>
          <t>VÄSTRA GÖTALANDS LÄN</t>
        </is>
      </c>
      <c r="G306" t="inlineStr">
        <is>
          <t>MUNKEDAL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46261</v>
      </c>
      <c r="F307" t="inlineStr">
        <is>
          <t>VÄSTRA GÖTALANDS LÄN</t>
        </is>
      </c>
      <c r="G307" t="inlineStr">
        <is>
          <t>MUNKEDAL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45532</v>
      </c>
      <c r="E308" s="1" t="n">
        <v>46261</v>
      </c>
      <c r="F308" t="inlineStr">
        <is>
          <t>VÄSTRA GÖTALANDS LÄN</t>
        </is>
      </c>
      <c r="G308" t="inlineStr">
        <is>
          <t>MUNKEDAL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44481</v>
      </c>
      <c r="E309" s="1" t="n">
        <v>46261</v>
      </c>
      <c r="F309" t="inlineStr">
        <is>
          <t>VÄSTRA GÖTALANDS LÄN</t>
        </is>
      </c>
      <c r="G309" t="inlineStr">
        <is>
          <t>MUNKEDAL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46261</v>
      </c>
      <c r="F310" t="inlineStr">
        <is>
          <t>VÄSTRA GÖTALANDS LÄN</t>
        </is>
      </c>
      <c r="G310" t="inlineStr">
        <is>
          <t>MUNKEDAL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46261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45127</v>
      </c>
      <c r="E312" s="1" t="n">
        <v>46261</v>
      </c>
      <c r="F312" t="inlineStr">
        <is>
          <t>VÄSTRA GÖTALANDS LÄN</t>
        </is>
      </c>
      <c r="G312" t="inlineStr">
        <is>
          <t>MUNKEDAL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46261</v>
      </c>
      <c r="F313" t="inlineStr">
        <is>
          <t>VÄSTRA GÖTALANDS LÄN</t>
        </is>
      </c>
      <c r="G313" t="inlineStr">
        <is>
          <t>MUNKEDAL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46217</v>
      </c>
      <c r="E314" s="1" t="n">
        <v>46261</v>
      </c>
      <c r="F314" t="inlineStr">
        <is>
          <t>VÄSTRA GÖTALANDS LÄN</t>
        </is>
      </c>
      <c r="G314" t="inlineStr">
        <is>
          <t>MUNKEDAL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46261</v>
      </c>
      <c r="F315" t="inlineStr">
        <is>
          <t>VÄSTRA GÖTALANDS LÄN</t>
        </is>
      </c>
      <c r="G315" t="inlineStr">
        <is>
          <t>MUNKEDAL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58066-2021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44487</v>
      </c>
      <c r="E316" s="1" t="n">
        <v>46261</v>
      </c>
      <c r="F316" t="inlineStr">
        <is>
          <t>VÄSTRA GÖTALANDS LÄN</t>
        </is>
      </c>
      <c r="G316" t="inlineStr">
        <is>
          <t>MUNKEDAL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45640</v>
      </c>
      <c r="E317" s="1" t="n">
        <v>46261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46261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44755</v>
      </c>
      <c r="E319" s="1" t="n">
        <v>46261</v>
      </c>
      <c r="F319" t="inlineStr">
        <is>
          <t>VÄSTRA GÖTALANDS LÄN</t>
        </is>
      </c>
      <c r="G319" t="inlineStr">
        <is>
          <t>MUNKEDAL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46261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Naturvårdsverket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46261</v>
      </c>
      <c r="F321" t="inlineStr">
        <is>
          <t>VÄSTRA GÖTALANDS LÄN</t>
        </is>
      </c>
      <c r="G321" t="inlineStr">
        <is>
          <t>MUNKEDAL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46261</v>
      </c>
      <c r="F322" t="inlineStr">
        <is>
          <t>VÄSTRA GÖTALANDS LÄN</t>
        </is>
      </c>
      <c r="G322" t="inlineStr">
        <is>
          <t>MUNKEDAL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45596</v>
      </c>
      <c r="E323" s="1" t="n">
        <v>46261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45582</v>
      </c>
      <c r="E324" s="1" t="n">
        <v>46261</v>
      </c>
      <c r="F324" t="inlineStr">
        <is>
          <t>VÄSTRA GÖTALANDS LÄN</t>
        </is>
      </c>
      <c r="G324" t="inlineStr">
        <is>
          <t>MUNKEDAL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46261</v>
      </c>
      <c r="F325" t="inlineStr">
        <is>
          <t>VÄSTRA GÖTALANDS LÄN</t>
        </is>
      </c>
      <c r="G325" t="inlineStr">
        <is>
          <t>MUNKEDAL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45478</v>
      </c>
      <c r="E326" s="1" t="n">
        <v>46261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44593</v>
      </c>
      <c r="E327" s="1" t="n">
        <v>46261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45325</v>
      </c>
      <c r="E328" s="1" t="n">
        <v>46261</v>
      </c>
      <c r="F328" t="inlineStr">
        <is>
          <t>VÄSTRA GÖTALANDS LÄN</t>
        </is>
      </c>
      <c r="G328" t="inlineStr">
        <is>
          <t>MUNKEDAL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45736</v>
      </c>
      <c r="E329" s="1" t="n">
        <v>46261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49912-2023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45214</v>
      </c>
      <c r="E330" s="1" t="n">
        <v>46261</v>
      </c>
      <c r="F330" t="inlineStr">
        <is>
          <t>VÄSTRA GÖTALANDS LÄN</t>
        </is>
      </c>
      <c r="G330" t="inlineStr">
        <is>
          <t>MUNKEDAL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46261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Kyrkan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46261</v>
      </c>
      <c r="F332" t="inlineStr">
        <is>
          <t>VÄSTRA GÖTALANDS LÄN</t>
        </is>
      </c>
      <c r="G332" t="inlineStr">
        <is>
          <t>MUNKEDAL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46261</v>
      </c>
      <c r="F333" t="inlineStr">
        <is>
          <t>VÄSTRA GÖTALANDS LÄN</t>
        </is>
      </c>
      <c r="G333" t="inlineStr">
        <is>
          <t>MUNKEDAL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18278-2025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45762</v>
      </c>
      <c r="E334" s="1" t="n">
        <v>46261</v>
      </c>
      <c r="F334" t="inlineStr">
        <is>
          <t>VÄSTRA GÖTALANDS LÄN</t>
        </is>
      </c>
      <c r="G334" t="inlineStr">
        <is>
          <t>MUNKEDAL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37419-2023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45155</v>
      </c>
      <c r="E335" s="1" t="n">
        <v>46261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45153</v>
      </c>
      <c r="E336" s="1" t="n">
        <v>46261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45750</v>
      </c>
      <c r="E337" s="1" t="n">
        <v>46261</v>
      </c>
      <c r="F337" t="inlineStr">
        <is>
          <t>VÄSTRA GÖTALANDS LÄN</t>
        </is>
      </c>
      <c r="G337" t="inlineStr">
        <is>
          <t>MUNKEDAL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46261</v>
      </c>
      <c r="F338" t="inlineStr">
        <is>
          <t>VÄSTRA GÖTALANDS LÄN</t>
        </is>
      </c>
      <c r="G338" t="inlineStr">
        <is>
          <t>MUNKEDAL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45337</v>
      </c>
      <c r="E339" s="1" t="n">
        <v>46261</v>
      </c>
      <c r="F339" t="inlineStr">
        <is>
          <t>VÄSTRA GÖTALANDS LÄN</t>
        </is>
      </c>
      <c r="G339" t="inlineStr">
        <is>
          <t>MUNKEDAL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22857-2022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44715</v>
      </c>
      <c r="E340" s="1" t="n">
        <v>46261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45293</v>
      </c>
      <c r="E341" s="1" t="n">
        <v>46261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46261</v>
      </c>
      <c r="F342" t="inlineStr">
        <is>
          <t>VÄSTRA GÖTALANDS LÄN</t>
        </is>
      </c>
      <c r="G342" t="inlineStr">
        <is>
          <t>MUNKEDAL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46261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25.2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50038-2023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46261</v>
      </c>
      <c r="F344" t="inlineStr">
        <is>
          <t>VÄSTRA GÖTALANDS LÄN</t>
        </is>
      </c>
      <c r="G344" t="inlineStr">
        <is>
          <t>MUNKEDAL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46261</v>
      </c>
      <c r="F345" t="inlineStr">
        <is>
          <t>VÄSTRA GÖTALANDS LÄN</t>
        </is>
      </c>
      <c r="G345" t="inlineStr">
        <is>
          <t>MUNKEDAL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44704</v>
      </c>
      <c r="E346" s="1" t="n">
        <v>46261</v>
      </c>
      <c r="F346" t="inlineStr">
        <is>
          <t>VÄSTRA GÖTALANDS LÄN</t>
        </is>
      </c>
      <c r="G346" t="inlineStr">
        <is>
          <t>MUNKEDAL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45293</v>
      </c>
      <c r="E347" s="1" t="n">
        <v>46261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45296</v>
      </c>
      <c r="E348" s="1" t="n">
        <v>46261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51409-2022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46261</v>
      </c>
      <c r="F349" t="inlineStr">
        <is>
          <t>VÄSTRA GÖTALANDS LÄN</t>
        </is>
      </c>
      <c r="G349" t="inlineStr">
        <is>
          <t>MUNKEDAL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45470</v>
      </c>
      <c r="E350" s="1" t="n">
        <v>46261</v>
      </c>
      <c r="F350" t="inlineStr">
        <is>
          <t>VÄSTRA GÖTALANDS LÄN</t>
        </is>
      </c>
      <c r="G350" t="inlineStr">
        <is>
          <t>MUNKEDAL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45123-2021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44439</v>
      </c>
      <c r="E351" s="1" t="n">
        <v>46261</v>
      </c>
      <c r="F351" t="inlineStr">
        <is>
          <t>VÄSTRA GÖTALANDS LÄN</t>
        </is>
      </c>
      <c r="G351" t="inlineStr">
        <is>
          <t>MUNKEDAL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54955-2024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45619</v>
      </c>
      <c r="E352" s="1" t="n">
        <v>46261</v>
      </c>
      <c r="F352" t="inlineStr">
        <is>
          <t>VÄSTRA GÖTALANDS LÄN</t>
        </is>
      </c>
      <c r="G352" t="inlineStr">
        <is>
          <t>MUNKEDAL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46261</v>
      </c>
      <c r="F353" t="inlineStr">
        <is>
          <t>VÄSTRA GÖTALANDS LÄN</t>
        </is>
      </c>
      <c r="G353" t="inlineStr">
        <is>
          <t>MUNKEDAL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46261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45175</v>
      </c>
      <c r="E355" s="1" t="n">
        <v>46261</v>
      </c>
      <c r="F355" t="inlineStr">
        <is>
          <t>VÄSTRA GÖTALANDS LÄN</t>
        </is>
      </c>
      <c r="G355" t="inlineStr">
        <is>
          <t>MUNKEDAL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45371</v>
      </c>
      <c r="E356" s="1" t="n">
        <v>46261</v>
      </c>
      <c r="F356" t="inlineStr">
        <is>
          <t>VÄSTRA GÖTALANDS LÄN</t>
        </is>
      </c>
      <c r="G356" t="inlineStr">
        <is>
          <t>MUNKEDAL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45322</v>
      </c>
      <c r="E357" s="1" t="n">
        <v>46261</v>
      </c>
      <c r="F357" t="inlineStr">
        <is>
          <t>VÄSTRA GÖTALANDS LÄN</t>
        </is>
      </c>
      <c r="G357" t="inlineStr">
        <is>
          <t>MUNKEDAL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46261</v>
      </c>
      <c r="F358" t="inlineStr">
        <is>
          <t>VÄSTRA GÖTALANDS LÄN</t>
        </is>
      </c>
      <c r="G358" t="inlineStr">
        <is>
          <t>MUNKEDAL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44606</v>
      </c>
      <c r="E359" s="1" t="n">
        <v>46261</v>
      </c>
      <c r="F359" t="inlineStr">
        <is>
          <t>VÄSTRA GÖTALANDS LÄN</t>
        </is>
      </c>
      <c r="G359" t="inlineStr">
        <is>
          <t>MUNKEDAL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46261</v>
      </c>
      <c r="F360" t="inlineStr">
        <is>
          <t>VÄSTRA GÖTALANDS LÄN</t>
        </is>
      </c>
      <c r="G360" t="inlineStr">
        <is>
          <t>MUNKEDAL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46261</v>
      </c>
      <c r="F361" t="inlineStr">
        <is>
          <t>VÄSTRA GÖTALANDS LÄN</t>
        </is>
      </c>
      <c r="G361" t="inlineStr">
        <is>
          <t>MUNKEDAL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45084</v>
      </c>
      <c r="E362" s="1" t="n">
        <v>46261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46261</v>
      </c>
      <c r="F363" t="inlineStr">
        <is>
          <t>VÄSTRA GÖTALANDS LÄN</t>
        </is>
      </c>
      <c r="G363" t="inlineStr">
        <is>
          <t>MUNKEDAL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46261</v>
      </c>
      <c r="F364" t="inlineStr">
        <is>
          <t>VÄSTRA GÖTALANDS LÄN</t>
        </is>
      </c>
      <c r="G364" t="inlineStr">
        <is>
          <t>MUNKEDAL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45022</v>
      </c>
      <c r="E365" s="1" t="n">
        <v>46261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44861</v>
      </c>
      <c r="E366" s="1" t="n">
        <v>46261</v>
      </c>
      <c r="F366" t="inlineStr">
        <is>
          <t>VÄSTRA GÖTALANDS LÄN</t>
        </is>
      </c>
      <c r="G366" t="inlineStr">
        <is>
          <t>MUNKEDAL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44937</v>
      </c>
      <c r="E367" s="1" t="n">
        <v>46261</v>
      </c>
      <c r="F367" t="inlineStr">
        <is>
          <t>VÄSTRA GÖTALANDS LÄN</t>
        </is>
      </c>
      <c r="G367" t="inlineStr">
        <is>
          <t>MUNKEDAL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47378-2021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44447</v>
      </c>
      <c r="E368" s="1" t="n">
        <v>46261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44580</v>
      </c>
      <c r="E369" s="1" t="n">
        <v>46261</v>
      </c>
      <c r="F369" t="inlineStr">
        <is>
          <t>VÄSTRA GÖTALANDS LÄN</t>
        </is>
      </c>
      <c r="G369" t="inlineStr">
        <is>
          <t>MUNKEDAL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46261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45049</v>
      </c>
      <c r="E371" s="1" t="n">
        <v>46261</v>
      </c>
      <c r="F371" t="inlineStr">
        <is>
          <t>VÄSTRA GÖTALANDS LÄN</t>
        </is>
      </c>
      <c r="G371" t="inlineStr">
        <is>
          <t>MUNKEDAL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49946-2021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44454</v>
      </c>
      <c r="E372" s="1" t="n">
        <v>46261</v>
      </c>
      <c r="F372" t="inlineStr">
        <is>
          <t>VÄSTRA GÖTALANDS LÄN</t>
        </is>
      </c>
      <c r="G372" t="inlineStr">
        <is>
          <t>MUNKEDAL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45070</v>
      </c>
      <c r="E373" s="1" t="n">
        <v>46261</v>
      </c>
      <c r="F373" t="inlineStr">
        <is>
          <t>VÄSTRA GÖTALANDS LÄN</t>
        </is>
      </c>
      <c r="G373" t="inlineStr">
        <is>
          <t>MUNKEDAL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46261</v>
      </c>
      <c r="F374" t="inlineStr">
        <is>
          <t>VÄSTRA GÖTALANDS LÄN</t>
        </is>
      </c>
      <c r="G374" t="inlineStr">
        <is>
          <t>MUNKEDAL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45076</v>
      </c>
      <c r="E375" s="1" t="n">
        <v>46261</v>
      </c>
      <c r="F375" t="inlineStr">
        <is>
          <t>VÄSTRA GÖTALANDS LÄN</t>
        </is>
      </c>
      <c r="G375" t="inlineStr">
        <is>
          <t>MUNKEDAL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46261</v>
      </c>
      <c r="F376" t="inlineStr">
        <is>
          <t>VÄSTRA GÖTALANDS LÄN</t>
        </is>
      </c>
      <c r="G376" t="inlineStr">
        <is>
          <t>MUNKEDAL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46261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Naturvårdsverket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46261</v>
      </c>
      <c r="F378" t="inlineStr">
        <is>
          <t>VÄSTRA GÖTALANDS LÄN</t>
        </is>
      </c>
      <c r="G378" t="inlineStr">
        <is>
          <t>MUNKEDAL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46261</v>
      </c>
      <c r="F379" t="inlineStr">
        <is>
          <t>VÄSTRA GÖTALANDS LÄN</t>
        </is>
      </c>
      <c r="G379" t="inlineStr">
        <is>
          <t>MUNKEDAL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44946</v>
      </c>
      <c r="E380" s="1" t="n">
        <v>46261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28393-2022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44747</v>
      </c>
      <c r="E381" s="1" t="n">
        <v>46261</v>
      </c>
      <c r="F381" t="inlineStr">
        <is>
          <t>VÄSTRA GÖTALANDS LÄN</t>
        </is>
      </c>
      <c r="G381" t="inlineStr">
        <is>
          <t>MUNKEDAL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29959-2024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45488</v>
      </c>
      <c r="E382" s="1" t="n">
        <v>46261</v>
      </c>
      <c r="F382" t="inlineStr">
        <is>
          <t>VÄSTRA GÖTALANDS LÄN</t>
        </is>
      </c>
      <c r="G382" t="inlineStr">
        <is>
          <t>MUNKEDAL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45321</v>
      </c>
      <c r="E383" s="1" t="n">
        <v>46261</v>
      </c>
      <c r="F383" t="inlineStr">
        <is>
          <t>VÄSTRA GÖTALANDS LÄN</t>
        </is>
      </c>
      <c r="G383" t="inlineStr">
        <is>
          <t>MUNKEDAL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45317</v>
      </c>
      <c r="E384" s="1" t="n">
        <v>46261</v>
      </c>
      <c r="F384" t="inlineStr">
        <is>
          <t>VÄSTRA GÖTALANDS LÄN</t>
        </is>
      </c>
      <c r="G384" t="inlineStr">
        <is>
          <t>MUNKEDAL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45456</v>
      </c>
      <c r="E385" s="1" t="n">
        <v>46261</v>
      </c>
      <c r="F385" t="inlineStr">
        <is>
          <t>VÄSTRA GÖTALANDS LÄN</t>
        </is>
      </c>
      <c r="G385" t="inlineStr">
        <is>
          <t>MUNKEDAL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46261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29969-2024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45488</v>
      </c>
      <c r="E387" s="1" t="n">
        <v>46261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45540</v>
      </c>
      <c r="E388" s="1" t="n">
        <v>46261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46261</v>
      </c>
      <c r="F389" t="inlineStr">
        <is>
          <t>VÄSTRA GÖTALANDS LÄN</t>
        </is>
      </c>
      <c r="G389" t="inlineStr">
        <is>
          <t>MUNKEDAL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46261</v>
      </c>
      <c r="F390" t="inlineStr">
        <is>
          <t>VÄSTRA GÖTALANDS LÄN</t>
        </is>
      </c>
      <c r="G390" t="inlineStr">
        <is>
          <t>MUNKEDAL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46261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11525-2023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44993</v>
      </c>
      <c r="E392" s="1" t="n">
        <v>46261</v>
      </c>
      <c r="F392" t="inlineStr">
        <is>
          <t>VÄSTRA GÖTALANDS LÄN</t>
        </is>
      </c>
      <c r="G392" t="inlineStr">
        <is>
          <t>MUNKEDAL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45063</v>
      </c>
      <c r="E393" s="1" t="n">
        <v>46261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44630</v>
      </c>
      <c r="E394" s="1" t="n">
        <v>46261</v>
      </c>
      <c r="F394" t="inlineStr">
        <is>
          <t>VÄSTRA GÖTALANDS LÄN</t>
        </is>
      </c>
      <c r="G394" t="inlineStr">
        <is>
          <t>MUNKEDAL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55183-2024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45620</v>
      </c>
      <c r="E395" s="1" t="n">
        <v>46261</v>
      </c>
      <c r="F395" t="inlineStr">
        <is>
          <t>VÄSTRA GÖTALANDS LÄN</t>
        </is>
      </c>
      <c r="G395" t="inlineStr">
        <is>
          <t>MUNKEDAL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45674</v>
      </c>
      <c r="E396" s="1" t="n">
        <v>46261</v>
      </c>
      <c r="F396" t="inlineStr">
        <is>
          <t>VÄSTRA GÖTALANDS LÄN</t>
        </is>
      </c>
      <c r="G396" t="inlineStr">
        <is>
          <t>MUNKEDAL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54760-2024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45618</v>
      </c>
      <c r="E397" s="1" t="n">
        <v>46261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62098-2022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44920</v>
      </c>
      <c r="E398" s="1" t="n">
        <v>46261</v>
      </c>
      <c r="F398" t="inlineStr">
        <is>
          <t>VÄSTRA GÖTALANDS LÄN</t>
        </is>
      </c>
      <c r="G398" t="inlineStr">
        <is>
          <t>MUNKEDAL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62101-2022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44920</v>
      </c>
      <c r="E399" s="1" t="n">
        <v>46261</v>
      </c>
      <c r="F399" t="inlineStr">
        <is>
          <t>VÄSTRA GÖTALANDS LÄN</t>
        </is>
      </c>
      <c r="G399" t="inlineStr">
        <is>
          <t>MUNKEDAL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45306</v>
      </c>
      <c r="E400" s="1" t="n">
        <v>46261</v>
      </c>
      <c r="F400" t="inlineStr">
        <is>
          <t>VÄSTRA GÖTALANDS LÄN</t>
        </is>
      </c>
      <c r="G400" t="inlineStr">
        <is>
          <t>MUNKEDAL</t>
        </is>
      </c>
      <c r="I400" t="n">
        <v>25.2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45684</v>
      </c>
      <c r="E401" s="1" t="n">
        <v>46261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Kommuner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46261</v>
      </c>
      <c r="F402" t="inlineStr">
        <is>
          <t>VÄSTRA GÖTALANDS LÄN</t>
        </is>
      </c>
      <c r="G402" t="inlineStr">
        <is>
          <t>MUNKEDAL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45215</v>
      </c>
      <c r="E403" s="1" t="n">
        <v>46261</v>
      </c>
      <c r="F403" t="inlineStr">
        <is>
          <t>VÄSTRA GÖTALANDS LÄN</t>
        </is>
      </c>
      <c r="G403" t="inlineStr">
        <is>
          <t>MUNKEDAL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45667</v>
      </c>
      <c r="E404" s="1" t="n">
        <v>46261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44698</v>
      </c>
      <c r="E405" s="1" t="n">
        <v>46261</v>
      </c>
      <c r="F405" t="inlineStr">
        <is>
          <t>VÄSTRA GÖTALANDS LÄN</t>
        </is>
      </c>
      <c r="G405" t="inlineStr">
        <is>
          <t>MUNKEDAL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45777</v>
      </c>
      <c r="E406" s="1" t="n">
        <v>46261</v>
      </c>
      <c r="F406" t="inlineStr">
        <is>
          <t>VÄSTRA GÖTALANDS LÄN</t>
        </is>
      </c>
      <c r="G406" t="inlineStr">
        <is>
          <t>MUNKEDAL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46261</v>
      </c>
      <c r="F407" t="inlineStr">
        <is>
          <t>VÄSTRA GÖTALANDS LÄN</t>
        </is>
      </c>
      <c r="G407" t="inlineStr">
        <is>
          <t>MUNKEDAL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45778</v>
      </c>
      <c r="E408" s="1" t="n">
        <v>46261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45778</v>
      </c>
      <c r="E409" s="1" t="n">
        <v>46261</v>
      </c>
      <c r="F409" t="inlineStr">
        <is>
          <t>VÄSTRA GÖTALANDS LÄN</t>
        </is>
      </c>
      <c r="G409" t="inlineStr">
        <is>
          <t>MUNKEDAL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45777</v>
      </c>
      <c r="E410" s="1" t="n">
        <v>46261</v>
      </c>
      <c r="F410" t="inlineStr">
        <is>
          <t>VÄSTRA GÖTALANDS LÄN</t>
        </is>
      </c>
      <c r="G410" t="inlineStr">
        <is>
          <t>MUNKEDAL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46261</v>
      </c>
      <c r="F411" t="inlineStr">
        <is>
          <t>VÄSTRA GÖTALANDS LÄN</t>
        </is>
      </c>
      <c r="G411" t="inlineStr">
        <is>
          <t>MUNKEDAL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45784</v>
      </c>
      <c r="E412" s="1" t="n">
        <v>46261</v>
      </c>
      <c r="F412" t="inlineStr">
        <is>
          <t>VÄSTRA GÖTALANDS LÄN</t>
        </is>
      </c>
      <c r="G412" t="inlineStr">
        <is>
          <t>MUNKEDAL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45740</v>
      </c>
      <c r="E413" s="1" t="n">
        <v>46261</v>
      </c>
      <c r="F413" t="inlineStr">
        <is>
          <t>VÄSTRA GÖTALANDS LÄN</t>
        </is>
      </c>
      <c r="G413" t="inlineStr">
        <is>
          <t>MUNKEDAL</t>
        </is>
      </c>
      <c r="I413" t="n">
        <v>13.8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46261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46261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46261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46261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46261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2026-08-27T01:51:46Z</dcterms:created>
  <dcterms:modified xmlns:dcterms="http://purl.org/dc/terms/" xmlns:xsi="http://www.w3.org/2001/XMLSchema-instance" xsi:type="dcterms:W3CDTF">2026-08-27T01:51:47Z</dcterms:modified>
</cp:coreProperties>
</file>