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46217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46217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46217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46217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46217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46217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46217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s="2" t="inlineStr">
        <is>
          <t>Slåttergubbe
Svinrot</t>
        </is>
      </c>
      <c r="V8">
        <f>HYPERLINK("https://klasma.github.io/Logging_1430/artfynd/A 2562-2025 artfynd.xlsx", "A 2562-2025")</f>
        <v/>
      </c>
      <c r="W8">
        <f>HYPERLINK("https://klasma.github.io/Logging_1430/kartor/A 2562-2025 karta.png", "A 2562-2025")</f>
        <v/>
      </c>
      <c r="Y8">
        <f>HYPERLINK("https://klasma.github.io/Logging_1430/klagomål/A 2562-2025 FSC-klagomål.docx", "A 2562-2025")</f>
        <v/>
      </c>
      <c r="Z8">
        <f>HYPERLINK("https://klasma.github.io/Logging_1430/klagomålsmail/A 2562-2025 FSC-klagomål mail.docx", "A 2562-2025")</f>
        <v/>
      </c>
      <c r="AA8">
        <f>HYPERLINK("https://klasma.github.io/Logging_1430/tillsyn/A 2562-2025 tillsynsbegäran.docx", "A 2562-2025")</f>
        <v/>
      </c>
      <c r="AB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46217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46217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Dunmossa
Grön sköldmossa</t>
        </is>
      </c>
      <c r="V10">
        <f>HYPERLINK("https://klasma.github.io/Logging_1430/artfynd/A 16972-2022 artfynd.xlsx", "A 16972-2022")</f>
        <v/>
      </c>
      <c r="W10">
        <f>HYPERLINK("https://klasma.github.io/Logging_1430/kartor/A 16972-2022 karta.png", "A 16972-2022")</f>
        <v/>
      </c>
      <c r="Y10">
        <f>HYPERLINK("https://klasma.github.io/Logging_1430/klagomål/A 16972-2022 FSC-klagomål.docx", "A 16972-2022")</f>
        <v/>
      </c>
      <c r="Z10">
        <f>HYPERLINK("https://klasma.github.io/Logging_1430/klagomålsmail/A 16972-2022 FSC-klagomål mail.docx", "A 16972-2022")</f>
        <v/>
      </c>
      <c r="AA10">
        <f>HYPERLINK("https://klasma.github.io/Logging_1430/tillsyn/A 16972-2022 tillsynsbegäran.docx", "A 16972-2022")</f>
        <v/>
      </c>
      <c r="AB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46217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Havsörn
Gullviva</t>
        </is>
      </c>
      <c r="V11">
        <f>HYPERLINK("https://klasma.github.io/Logging_1430/artfynd/A 2539-2024 artfynd.xlsx", "A 2539-2024")</f>
        <v/>
      </c>
      <c r="W11">
        <f>HYPERLINK("https://klasma.github.io/Logging_1430/kartor/A 2539-2024 karta.png", "A 2539-2024")</f>
        <v/>
      </c>
      <c r="Y11">
        <f>HYPERLINK("https://klasma.github.io/Logging_1430/klagomål/A 2539-2024 FSC-klagomål.docx", "A 2539-2024")</f>
        <v/>
      </c>
      <c r="Z11">
        <f>HYPERLINK("https://klasma.github.io/Logging_1430/klagomålsmail/A 2539-2024 FSC-klagomål mail.docx", "A 2539-2024")</f>
        <v/>
      </c>
      <c r="AA11">
        <f>HYPERLINK("https://klasma.github.io/Logging_1430/tillsyn/A 2539-2024 tillsynsbegäran.docx", "A 2539-2024")</f>
        <v/>
      </c>
      <c r="AB11">
        <f>HYPERLINK("https://klasma.github.io/Logging_1430/tillsynsmail/A 2539-2024 tillsynsbegäran mail.docx", "A 2539-2024")</f>
        <v/>
      </c>
      <c r="AC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46217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Svart trolldruva
Blåsippa</t>
        </is>
      </c>
      <c r="V12">
        <f>HYPERLINK("https://klasma.github.io/Logging_1430/artfynd/A 25957-2025 artfynd.xlsx", "A 25957-2025")</f>
        <v/>
      </c>
      <c r="W12">
        <f>HYPERLINK("https://klasma.github.io/Logging_1430/kartor/A 25957-2025 karta.png", "A 25957-2025")</f>
        <v/>
      </c>
      <c r="Y12">
        <f>HYPERLINK("https://klasma.github.io/Logging_1430/klagomål/A 25957-2025 FSC-klagomål.docx", "A 25957-2025")</f>
        <v/>
      </c>
      <c r="Z12">
        <f>HYPERLINK("https://klasma.github.io/Logging_1430/klagomålsmail/A 25957-2025 FSC-klagomål mail.docx", "A 25957-2025")</f>
        <v/>
      </c>
      <c r="AA12">
        <f>HYPERLINK("https://klasma.github.io/Logging_1430/tillsyn/A 25957-2025 tillsynsbegäran.docx", "A 25957-2025")</f>
        <v/>
      </c>
      <c r="AB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46217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46217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46217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46217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46217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9934-2023 artfynd.xlsx", "A 9934-2023")</f>
        <v/>
      </c>
      <c r="W17">
        <f>HYPERLINK("https://klasma.github.io/Logging_1430/kartor/A 9934-2023 karta.png", "A 9934-2023")</f>
        <v/>
      </c>
      <c r="Y17">
        <f>HYPERLINK("https://klasma.github.io/Logging_1430/klagomål/A 9934-2023 FSC-klagomål.docx", "A 9934-2023")</f>
        <v/>
      </c>
      <c r="Z17">
        <f>HYPERLINK("https://klasma.github.io/Logging_1430/klagomålsmail/A 9934-2023 FSC-klagomål mail.docx", "A 9934-2023")</f>
        <v/>
      </c>
      <c r="AA17">
        <f>HYPERLINK("https://klasma.github.io/Logging_1430/tillsyn/A 9934-2023 tillsynsbegäran.docx", "A 9934-2023")</f>
        <v/>
      </c>
      <c r="AB17">
        <f>HYPERLINK("https://klasma.github.io/Logging_1430/tillsynsmail/A 9934-2023 tillsynsbegäran mail.docx", "A 9934-2023")</f>
        <v/>
      </c>
      <c r="AC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46217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Honungsvaxing</t>
        </is>
      </c>
      <c r="V18">
        <f>HYPERLINK("https://klasma.github.io/Logging_1430/artfynd/A 20258-2022 artfynd.xlsx", "A 20258-2022")</f>
        <v/>
      </c>
      <c r="W18">
        <f>HYPERLINK("https://klasma.github.io/Logging_1430/kartor/A 20258-2022 karta.png", "A 20258-2022")</f>
        <v/>
      </c>
      <c r="Y18">
        <f>HYPERLINK("https://klasma.github.io/Logging_1430/klagomål/A 20258-2022 FSC-klagomål.docx", "A 20258-2022")</f>
        <v/>
      </c>
      <c r="Z18">
        <f>HYPERLINK("https://klasma.github.io/Logging_1430/klagomålsmail/A 20258-2022 FSC-klagomål mail.docx", "A 20258-2022")</f>
        <v/>
      </c>
      <c r="AA18">
        <f>HYPERLINK("https://klasma.github.io/Logging_1430/tillsyn/A 20258-2022 tillsynsbegäran.docx", "A 20258-2022")</f>
        <v/>
      </c>
      <c r="AB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46217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Trollsmultron</t>
        </is>
      </c>
      <c r="V19">
        <f>HYPERLINK("https://klasma.github.io/Logging_1430/artfynd/A 62525-2021 artfynd.xlsx", "A 62525-2021")</f>
        <v/>
      </c>
      <c r="W19">
        <f>HYPERLINK("https://klasma.github.io/Logging_1430/kartor/A 62525-2021 karta.png", "A 62525-2021")</f>
        <v/>
      </c>
      <c r="Y19">
        <f>HYPERLINK("https://klasma.github.io/Logging_1430/klagomål/A 62525-2021 FSC-klagomål.docx", "A 62525-2021")</f>
        <v/>
      </c>
      <c r="Z19">
        <f>HYPERLINK("https://klasma.github.io/Logging_1430/klagomålsmail/A 62525-2021 FSC-klagomål mail.docx", "A 62525-2021")</f>
        <v/>
      </c>
      <c r="AA19">
        <f>HYPERLINK("https://klasma.github.io/Logging_1430/tillsyn/A 62525-2021 tillsynsbegäran.docx", "A 62525-2021")</f>
        <v/>
      </c>
      <c r="AB19">
        <f>HYPERLINK("https://klasma.github.io/Logging_1430/tillsynsmail/A 62525-2021 tillsynsbegäran mail.docx", "A 62525-2021")</f>
        <v/>
      </c>
    </row>
    <row r="20" ht="15" customHeight="1">
      <c r="A20" t="inlineStr">
        <is>
          <t>A 16618-2022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44672</v>
      </c>
      <c r="E20" s="1" t="n">
        <v>46217</v>
      </c>
      <c r="F20" t="inlineStr">
        <is>
          <t>VÄSTRA GÖTALANDS LÄN</t>
        </is>
      </c>
      <c r="G20" t="inlineStr">
        <is>
          <t>MUNKEDAL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Vanlig padda</t>
        </is>
      </c>
      <c r="V20">
        <f>HYPERLINK("https://klasma.github.io/Logging_1430/artfynd/A 16618-2022 artfynd.xlsx", "A 16618-2022")</f>
        <v/>
      </c>
      <c r="W20">
        <f>HYPERLINK("https://klasma.github.io/Logging_1430/kartor/A 16618-2022 karta.png", "A 16618-2022")</f>
        <v/>
      </c>
      <c r="Y20">
        <f>HYPERLINK("https://klasma.github.io/Logging_1430/klagomål/A 16618-2022 FSC-klagomål.docx", "A 16618-2022")</f>
        <v/>
      </c>
      <c r="Z20">
        <f>HYPERLINK("https://klasma.github.io/Logging_1430/klagomålsmail/A 16618-2022 FSC-klagomål mail.docx", "A 16618-2022")</f>
        <v/>
      </c>
      <c r="AA20">
        <f>HYPERLINK("https://klasma.github.io/Logging_1430/tillsyn/A 16618-2022 tillsynsbegäran.docx", "A 16618-2022")</f>
        <v/>
      </c>
      <c r="AB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46217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HYPERLINK("https://klasma.github.io/Logging_1430/artfynd/A 51398-2025 artfynd.xlsx", "A 51398-2025")</f>
        <v/>
      </c>
      <c r="W21">
        <f>HYPERLINK("https://klasma.github.io/Logging_1430/kartor/A 51398-2025 karta.png", "A 51398-2025")</f>
        <v/>
      </c>
      <c r="Y21">
        <f>HYPERLINK("https://klasma.github.io/Logging_1430/klagomål/A 51398-2025 FSC-klagomål.docx", "A 51398-2025")</f>
        <v/>
      </c>
      <c r="Z21">
        <f>HYPERLINK("https://klasma.github.io/Logging_1430/klagomålsmail/A 51398-2025 FSC-klagomål mail.docx", "A 51398-2025")</f>
        <v/>
      </c>
      <c r="AA21">
        <f>HYPERLINK("https://klasma.github.io/Logging_1430/tillsyn/A 51398-2025 tillsynsbegäran.docx", "A 51398-2025")</f>
        <v/>
      </c>
      <c r="AB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46217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Svinrot</t>
        </is>
      </c>
      <c r="V22">
        <f>HYPERLINK("https://klasma.github.io/Logging_1430/artfynd/A 37035-2024 artfynd.xlsx", "A 37035-2024")</f>
        <v/>
      </c>
      <c r="W22">
        <f>HYPERLINK("https://klasma.github.io/Logging_1430/kartor/A 37035-2024 karta.png", "A 37035-2024")</f>
        <v/>
      </c>
      <c r="Y22">
        <f>HYPERLINK("https://klasma.github.io/Logging_1430/klagomål/A 37035-2024 FSC-klagomål.docx", "A 37035-2024")</f>
        <v/>
      </c>
      <c r="Z22">
        <f>HYPERLINK("https://klasma.github.io/Logging_1430/klagomålsmail/A 37035-2024 FSC-klagomål mail.docx", "A 37035-2024")</f>
        <v/>
      </c>
      <c r="AA22">
        <f>HYPERLINK("https://klasma.github.io/Logging_1430/tillsyn/A 37035-2024 tillsynsbegäran.docx", "A 37035-2024")</f>
        <v/>
      </c>
      <c r="AB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46217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Stor revmossa</t>
        </is>
      </c>
      <c r="V23">
        <f>HYPERLINK("https://klasma.github.io/Logging_1430/artfynd/A 58890-2022 artfynd.xlsx", "A 58890-2022")</f>
        <v/>
      </c>
      <c r="W23">
        <f>HYPERLINK("https://klasma.github.io/Logging_1430/kartor/A 58890-2022 karta.png", "A 58890-2022")</f>
        <v/>
      </c>
      <c r="Y23">
        <f>HYPERLINK("https://klasma.github.io/Logging_1430/klagomål/A 58890-2022 FSC-klagomål.docx", "A 58890-2022")</f>
        <v/>
      </c>
      <c r="Z23">
        <f>HYPERLINK("https://klasma.github.io/Logging_1430/klagomålsmail/A 58890-2022 FSC-klagomål mail.docx", "A 58890-2022")</f>
        <v/>
      </c>
      <c r="AA23">
        <f>HYPERLINK("https://klasma.github.io/Logging_1430/tillsyn/A 58890-2022 tillsynsbegäran.docx", "A 58890-2022")</f>
        <v/>
      </c>
      <c r="AB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46217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HYPERLINK("https://klasma.github.io/Logging_1430/artfynd/A 45160-2024 artfynd.xlsx", "A 45160-2024")</f>
        <v/>
      </c>
      <c r="W24">
        <f>HYPERLINK("https://klasma.github.io/Logging_1430/kartor/A 45160-2024 karta.png", "A 45160-2024")</f>
        <v/>
      </c>
      <c r="Y24">
        <f>HYPERLINK("https://klasma.github.io/Logging_1430/klagomål/A 45160-2024 FSC-klagomål.docx", "A 45160-2024")</f>
        <v/>
      </c>
      <c r="Z24">
        <f>HYPERLINK("https://klasma.github.io/Logging_1430/klagomålsmail/A 45160-2024 FSC-klagomål mail.docx", "A 45160-2024")</f>
        <v/>
      </c>
      <c r="AA24">
        <f>HYPERLINK("https://klasma.github.io/Logging_1430/tillsyn/A 45160-2024 tillsynsbegäran.docx", "A 45160-2024")</f>
        <v/>
      </c>
      <c r="AB24">
        <f>HYPERLINK("https://klasma.github.io/Logging_1430/tillsynsmail/A 45160-2024 tillsynsbegäran mail.docx", "A 45160-2024")</f>
        <v/>
      </c>
      <c r="AC24">
        <f>HYPERLINK("https://klasma.github.io/Logging_1430/fåglar/A 45160-2024 prioriterade fågelarter.docx", "A 45160-2024")</f>
        <v/>
      </c>
    </row>
    <row r="25" ht="15" customHeight="1">
      <c r="A25" t="inlineStr">
        <is>
          <t>A 22963-2026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46217</v>
      </c>
      <c r="F25" t="inlineStr">
        <is>
          <t>VÄSTRA GÖTALANDS LÄN</t>
        </is>
      </c>
      <c r="G25" t="inlineStr">
        <is>
          <t>MUNKEDAL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Blåsippa</t>
        </is>
      </c>
      <c r="V25">
        <f>HYPERLINK("https://klasma.github.io/Logging_1430/artfynd/A 22963-2026 artfynd.xlsx", "A 22963-2026")</f>
        <v/>
      </c>
      <c r="W25">
        <f>HYPERLINK("https://klasma.github.io/Logging_1430/kartor/A 22963-2026 karta.png", "A 22963-2026")</f>
        <v/>
      </c>
      <c r="Y25">
        <f>HYPERLINK("https://klasma.github.io/Logging_1430/klagomål/A 22963-2026 FSC-klagomål.docx", "A 22963-2026")</f>
        <v/>
      </c>
      <c r="Z25">
        <f>HYPERLINK("https://klasma.github.io/Logging_1430/klagomålsmail/A 22963-2026 FSC-klagomål mail.docx", "A 22963-2026")</f>
        <v/>
      </c>
      <c r="AA25">
        <f>HYPERLINK("https://klasma.github.io/Logging_1430/tillsyn/A 22963-2026 tillsynsbegäran.docx", "A 22963-2026")</f>
        <v/>
      </c>
      <c r="AB25">
        <f>HYPERLINK("https://klasma.github.io/Logging_1430/tillsynsmail/A 22963-2026 tillsynsbegäran mail.docx", "A 22963-2026")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46217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Krusfrö</t>
        </is>
      </c>
      <c r="V26">
        <f>HYPERLINK("https://klasma.github.io/Logging_1430/artfynd/A 2887-2025 artfynd.xlsx", "A 2887-2025")</f>
        <v/>
      </c>
      <c r="W26">
        <f>HYPERLINK("https://klasma.github.io/Logging_1430/kartor/A 2887-2025 karta.png", "A 2887-2025")</f>
        <v/>
      </c>
      <c r="Y26">
        <f>HYPERLINK("https://klasma.github.io/Logging_1430/klagomål/A 2887-2025 FSC-klagomål.docx", "A 2887-2025")</f>
        <v/>
      </c>
      <c r="Z26">
        <f>HYPERLINK("https://klasma.github.io/Logging_1430/klagomålsmail/A 2887-2025 FSC-klagomål mail.docx", "A 2887-2025")</f>
        <v/>
      </c>
      <c r="AA26">
        <f>HYPERLINK("https://klasma.github.io/Logging_1430/tillsyn/A 2887-2025 tillsynsbegäran.docx", "A 2887-2025")</f>
        <v/>
      </c>
      <c r="AB26">
        <f>HYPERLINK("https://klasma.github.io/Logging_1430/tillsynsmail/A 2887-2025 tillsynsbegäran mail.docx", "A 2887-2025")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46217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HYPERLINK("https://klasma.github.io/Logging_1430/artfynd/A 23065-2026 artfynd.xlsx", "A 23065-2026")</f>
        <v/>
      </c>
      <c r="W27">
        <f>HYPERLINK("https://klasma.github.io/Logging_1430/kartor/A 23065-2026 karta.png", "A 23065-2026")</f>
        <v/>
      </c>
      <c r="Y27">
        <f>HYPERLINK("https://klasma.github.io/Logging_1430/klagomål/A 23065-2026 FSC-klagomål.docx", "A 23065-2026")</f>
        <v/>
      </c>
      <c r="Z27">
        <f>HYPERLINK("https://klasma.github.io/Logging_1430/klagomålsmail/A 23065-2026 FSC-klagomål mail.docx", "A 23065-2026")</f>
        <v/>
      </c>
      <c r="AA27">
        <f>HYPERLINK("https://klasma.github.io/Logging_1430/tillsyn/A 23065-2026 tillsynsbegäran.docx", "A 23065-2026")</f>
        <v/>
      </c>
      <c r="AB27">
        <f>HYPERLINK("https://klasma.github.io/Logging_1430/tillsynsmail/A 23065-2026 tillsynsbegäran mail.docx", "A 23065-2026")</f>
        <v/>
      </c>
    </row>
    <row r="28" ht="15" customHeight="1">
      <c r="A28" t="inlineStr">
        <is>
          <t>A 1647-2025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46217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19.8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HYPERLINK("https://klasma.github.io/Logging_1430/artfynd/A 1647-2025 artfynd.xlsx", "A 1647-2025")</f>
        <v/>
      </c>
      <c r="W28">
        <f>HYPERLINK("https://klasma.github.io/Logging_1430/kartor/A 1647-2025 karta.png", "A 1647-2025")</f>
        <v/>
      </c>
      <c r="Y28">
        <f>HYPERLINK("https://klasma.github.io/Logging_1430/klagomål/A 1647-2025 FSC-klagomål.docx", "A 1647-2025")</f>
        <v/>
      </c>
      <c r="Z28">
        <f>HYPERLINK("https://klasma.github.io/Logging_1430/klagomålsmail/A 1647-2025 FSC-klagomål mail.docx", "A 1647-2025")</f>
        <v/>
      </c>
      <c r="AA28">
        <f>HYPERLINK("https://klasma.github.io/Logging_1430/tillsyn/A 1647-2025 tillsynsbegäran.docx", "A 1647-2025")</f>
        <v/>
      </c>
      <c r="AB28">
        <f>HYPERLINK("https://klasma.github.io/Logging_1430/tillsynsmail/A 1647-2025 tillsynsbegäran mail.docx", "A 1647-2025")</f>
        <v/>
      </c>
    </row>
    <row r="29" ht="15" customHeight="1">
      <c r="A29" t="inlineStr">
        <is>
          <t>A 36912-2023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46217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Jaktfalk</t>
        </is>
      </c>
      <c r="V29">
        <f>HYPERLINK("https://klasma.github.io/Logging_1430/artfynd/A 36912-2023 artfynd.xlsx", "A 36912-2023")</f>
        <v/>
      </c>
      <c r="W29">
        <f>HYPERLINK("https://klasma.github.io/Logging_1430/kartor/A 36912-2023 karta.png", "A 36912-2023")</f>
        <v/>
      </c>
      <c r="Y29">
        <f>HYPERLINK("https://klasma.github.io/Logging_1430/klagomål/A 36912-2023 FSC-klagomål.docx", "A 36912-2023")</f>
        <v/>
      </c>
      <c r="Z29">
        <f>HYPERLINK("https://klasma.github.io/Logging_1430/klagomålsmail/A 36912-2023 FSC-klagomål mail.docx", "A 36912-2023")</f>
        <v/>
      </c>
      <c r="AA29">
        <f>HYPERLINK("https://klasma.github.io/Logging_1430/tillsyn/A 36912-2023 tillsynsbegäran.docx", "A 36912-2023")</f>
        <v/>
      </c>
      <c r="AB29">
        <f>HYPERLINK("https://klasma.github.io/Logging_1430/tillsynsmail/A 36912-2023 tillsynsbegäran mail.docx", "A 36912-2023")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46217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HYPERLINK("https://klasma.github.io/Logging_1430/artfynd/A 45083-2024 artfynd.xlsx", "A 45083-2024")</f>
        <v/>
      </c>
      <c r="W30">
        <f>HYPERLINK("https://klasma.github.io/Logging_1430/kartor/A 45083-2024 karta.png", "A 45083-2024")</f>
        <v/>
      </c>
      <c r="Y30">
        <f>HYPERLINK("https://klasma.github.io/Logging_1430/klagomål/A 45083-2024 FSC-klagomål.docx", "A 45083-2024")</f>
        <v/>
      </c>
      <c r="Z30">
        <f>HYPERLINK("https://klasma.github.io/Logging_1430/klagomålsmail/A 45083-2024 FSC-klagomål mail.docx", "A 45083-2024")</f>
        <v/>
      </c>
      <c r="AA30">
        <f>HYPERLINK("https://klasma.github.io/Logging_1430/tillsyn/A 45083-2024 tillsynsbegäran.docx", "A 45083-2024")</f>
        <v/>
      </c>
      <c r="AB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46217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Svart trolldruva</t>
        </is>
      </c>
      <c r="V31">
        <f>HYPERLINK("https://klasma.github.io/Logging_1430/artfynd/A 2555-2023 artfynd.xlsx", "A 2555-2023")</f>
        <v/>
      </c>
      <c r="W31">
        <f>HYPERLINK("https://klasma.github.io/Logging_1430/kartor/A 2555-2023 karta.png", "A 2555-2023")</f>
        <v/>
      </c>
      <c r="Y31">
        <f>HYPERLINK("https://klasma.github.io/Logging_1430/klagomål/A 2555-2023 FSC-klagomål.docx", "A 2555-2023")</f>
        <v/>
      </c>
      <c r="Z31">
        <f>HYPERLINK("https://klasma.github.io/Logging_1430/klagomålsmail/A 2555-2023 FSC-klagomål mail.docx", "A 2555-2023")</f>
        <v/>
      </c>
      <c r="AA31">
        <f>HYPERLINK("https://klasma.github.io/Logging_1430/tillsyn/A 2555-2023 tillsynsbegäran.docx", "A 2555-2023")</f>
        <v/>
      </c>
      <c r="AB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46217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46217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46217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46217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46217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46217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46217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46217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46217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46217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46217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46217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46217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46217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46217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46217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46217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46217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46217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46217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46217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46217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46217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46217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46217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46217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46217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46217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46217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46217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46217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46217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46217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46217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46217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58617-2023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45251</v>
      </c>
      <c r="E67" s="1" t="n">
        <v>46217</v>
      </c>
      <c r="F67" t="inlineStr">
        <is>
          <t>VÄSTRA GÖTALANDS LÄN</t>
        </is>
      </c>
      <c r="G67" t="inlineStr">
        <is>
          <t>MUNKEDAL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15555-2024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45401</v>
      </c>
      <c r="E68" s="1" t="n">
        <v>46217</v>
      </c>
      <c r="F68" t="inlineStr">
        <is>
          <t>VÄSTRA GÖTALANDS LÄN</t>
        </is>
      </c>
      <c r="G68" t="inlineStr">
        <is>
          <t>MUNKEDAL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13659-2025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46217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61695-2023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45261</v>
      </c>
      <c r="E70" s="1" t="n">
        <v>46217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14339-2024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46217</v>
      </c>
      <c r="F71" t="inlineStr">
        <is>
          <t>VÄSTRA GÖTALANDS LÄN</t>
        </is>
      </c>
      <c r="G71" t="inlineStr">
        <is>
          <t>MUNKEDAL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45296</v>
      </c>
      <c r="E72" s="1" t="n">
        <v>46217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Kyrkan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17136-2025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46217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28678-2024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45478</v>
      </c>
      <c r="E74" s="1" t="n">
        <v>46217</v>
      </c>
      <c r="F74" t="inlineStr">
        <is>
          <t>VÄSTRA GÖTALANDS LÄN</t>
        </is>
      </c>
      <c r="G74" t="inlineStr">
        <is>
          <t>MUNKEDAL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38164-2022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46217</v>
      </c>
      <c r="F75" t="inlineStr">
        <is>
          <t>VÄSTRA GÖTALANDS LÄN</t>
        </is>
      </c>
      <c r="G75" t="inlineStr">
        <is>
          <t>MUNKEDAL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27644-2023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46217</v>
      </c>
      <c r="F76" t="inlineStr">
        <is>
          <t>VÄSTRA GÖTALANDS LÄN</t>
        </is>
      </c>
      <c r="G76" t="inlineStr">
        <is>
          <t>MUNKEDAL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53888-2023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46217</v>
      </c>
      <c r="F77" t="inlineStr">
        <is>
          <t>VÄSTRA GÖTALANDS LÄN</t>
        </is>
      </c>
      <c r="G77" t="inlineStr">
        <is>
          <t>MUNKEDAL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46217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46217</v>
      </c>
      <c r="F79" t="inlineStr">
        <is>
          <t>VÄSTRA GÖTALANDS LÄN</t>
        </is>
      </c>
      <c r="G79" t="inlineStr">
        <is>
          <t>MUNKEDAL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30427-2023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46217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Naturvårdsverket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36891-2023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45154</v>
      </c>
      <c r="E81" s="1" t="n">
        <v>46217</v>
      </c>
      <c r="F81" t="inlineStr">
        <is>
          <t>VÄSTRA GÖTALANDS LÄN</t>
        </is>
      </c>
      <c r="G81" t="inlineStr">
        <is>
          <t>MUNKEDAL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46217</v>
      </c>
      <c r="F82" t="inlineStr">
        <is>
          <t>VÄSTRA GÖTALANDS LÄN</t>
        </is>
      </c>
      <c r="G82" t="inlineStr">
        <is>
          <t>MUNKEDAL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52302-2022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44873</v>
      </c>
      <c r="E83" s="1" t="n">
        <v>46217</v>
      </c>
      <c r="F83" t="inlineStr">
        <is>
          <t>VÄSTRA GÖTALANDS LÄN</t>
        </is>
      </c>
      <c r="G83" t="inlineStr">
        <is>
          <t>MUNKEDAL</t>
        </is>
      </c>
      <c r="I83" t="n">
        <v>9.300000000000001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45488</v>
      </c>
      <c r="E84" s="1" t="n">
        <v>46217</v>
      </c>
      <c r="F84" t="inlineStr">
        <is>
          <t>VÄSTRA GÖTALANDS LÄN</t>
        </is>
      </c>
      <c r="G84" t="inlineStr">
        <is>
          <t>MUNKEDAL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46217</v>
      </c>
      <c r="F85" t="inlineStr">
        <is>
          <t>VÄSTRA GÖTALANDS LÄN</t>
        </is>
      </c>
      <c r="G85" t="inlineStr">
        <is>
          <t>MUNKEDAL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46217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9748-2023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46217</v>
      </c>
      <c r="F87" t="inlineStr">
        <is>
          <t>VÄSTRA GÖTALANDS LÄN</t>
        </is>
      </c>
      <c r="G87" t="inlineStr">
        <is>
          <t>MUNKEDAL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58251-2024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46217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12243-2024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45378</v>
      </c>
      <c r="E89" s="1" t="n">
        <v>46217</v>
      </c>
      <c r="F89" t="inlineStr">
        <is>
          <t>VÄSTRA GÖTALANDS LÄN</t>
        </is>
      </c>
      <c r="G89" t="inlineStr">
        <is>
          <t>MUNKEDAL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24073-2024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46217</v>
      </c>
      <c r="F90" t="inlineStr">
        <is>
          <t>VÄSTRA GÖTALANDS LÄN</t>
        </is>
      </c>
      <c r="G90" t="inlineStr">
        <is>
          <t>MUNKEDAL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46217</v>
      </c>
      <c r="F91" t="inlineStr">
        <is>
          <t>VÄSTRA GÖTALANDS LÄN</t>
        </is>
      </c>
      <c r="G91" t="inlineStr">
        <is>
          <t>MUNKEDAL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46217</v>
      </c>
      <c r="F92" t="inlineStr">
        <is>
          <t>VÄSTRA GÖTALANDS LÄN</t>
        </is>
      </c>
      <c r="G92" t="inlineStr">
        <is>
          <t>MUNKEDAL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46217</v>
      </c>
      <c r="F93" t="inlineStr">
        <is>
          <t>VÄSTRA GÖTALANDS LÄN</t>
        </is>
      </c>
      <c r="G93" t="inlineStr">
        <is>
          <t>MUNKEDAL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33925-2024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45522</v>
      </c>
      <c r="E94" s="1" t="n">
        <v>46217</v>
      </c>
      <c r="F94" t="inlineStr">
        <is>
          <t>VÄSTRA GÖTALANDS LÄN</t>
        </is>
      </c>
      <c r="G94" t="inlineStr">
        <is>
          <t>MUNKEDAL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59171-2022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44897</v>
      </c>
      <c r="E95" s="1" t="n">
        <v>46217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Kyrkan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13162-2023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46217</v>
      </c>
      <c r="F96" t="inlineStr">
        <is>
          <t>VÄSTRA GÖTALANDS LÄN</t>
        </is>
      </c>
      <c r="G96" t="inlineStr">
        <is>
          <t>MUNKEDAL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16420-2023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45029</v>
      </c>
      <c r="E97" s="1" t="n">
        <v>46217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41714-2024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46217</v>
      </c>
      <c r="F98" t="inlineStr">
        <is>
          <t>VÄSTRA GÖTALANDS LÄN</t>
        </is>
      </c>
      <c r="G98" t="inlineStr">
        <is>
          <t>MUNKEDAL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45678</v>
      </c>
      <c r="E99" s="1" t="n">
        <v>46217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45233</v>
      </c>
      <c r="E100" s="1" t="n">
        <v>46217</v>
      </c>
      <c r="F100" t="inlineStr">
        <is>
          <t>VÄSTRA GÖTALANDS LÄN</t>
        </is>
      </c>
      <c r="G100" t="inlineStr">
        <is>
          <t>MUNKEDAL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46217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8561-2024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46217</v>
      </c>
      <c r="F102" t="inlineStr">
        <is>
          <t>VÄSTRA GÖTALANDS LÄN</t>
        </is>
      </c>
      <c r="G102" t="inlineStr">
        <is>
          <t>MUNKEDAL</t>
        </is>
      </c>
      <c r="H102" t="inlineStr">
        <is>
          <t>Övriga Aktiebolag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39163-2023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46217</v>
      </c>
      <c r="F103" t="inlineStr">
        <is>
          <t>VÄSTRA GÖTALANDS LÄN</t>
        </is>
      </c>
      <c r="G103" t="inlineStr">
        <is>
          <t>MUNKEDAL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29588-2024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45484</v>
      </c>
      <c r="E104" s="1" t="n">
        <v>46217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8576-2025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45709</v>
      </c>
      <c r="E105" s="1" t="n">
        <v>46217</v>
      </c>
      <c r="F105" t="inlineStr">
        <is>
          <t>VÄSTRA GÖTALANDS LÄN</t>
        </is>
      </c>
      <c r="G105" t="inlineStr">
        <is>
          <t>MUNKEDAL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37934-2025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45881</v>
      </c>
      <c r="E106" s="1" t="n">
        <v>46217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46217</v>
      </c>
      <c r="F107" t="inlineStr">
        <is>
          <t>VÄSTRA GÖTALANDS LÄN</t>
        </is>
      </c>
      <c r="G107" t="inlineStr">
        <is>
          <t>MUNKEDAL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46217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28397-2025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46217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54875-2024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46217</v>
      </c>
      <c r="F110" t="inlineStr">
        <is>
          <t>VÄSTRA GÖTALANDS LÄN</t>
        </is>
      </c>
      <c r="G110" t="inlineStr">
        <is>
          <t>MUNKEDAL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38592-2025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46217</v>
      </c>
      <c r="F111" t="inlineStr">
        <is>
          <t>VÄSTRA GÖTALANDS LÄN</t>
        </is>
      </c>
      <c r="G111" t="inlineStr">
        <is>
          <t>MUNKEDAL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46217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40476-2025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46217</v>
      </c>
      <c r="F113" t="inlineStr">
        <is>
          <t>VÄSTRA GÖTALANDS LÄN</t>
        </is>
      </c>
      <c r="G113" t="inlineStr">
        <is>
          <t>MUNKEDAL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46217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45640</v>
      </c>
      <c r="E115" s="1" t="n">
        <v>46217</v>
      </c>
      <c r="F115" t="inlineStr">
        <is>
          <t>VÄSTRA GÖTALANDS LÄN</t>
        </is>
      </c>
      <c r="G115" t="inlineStr">
        <is>
          <t>MUNKEDAL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59257-2024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46217</v>
      </c>
      <c r="F116" t="inlineStr">
        <is>
          <t>VÄSTRA GÖTALANDS LÄN</t>
        </is>
      </c>
      <c r="G116" t="inlineStr">
        <is>
          <t>MUNKEDAL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40707-2025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46217</v>
      </c>
      <c r="F117" t="inlineStr">
        <is>
          <t>VÄSTRA GÖTALANDS LÄN</t>
        </is>
      </c>
      <c r="G117" t="inlineStr">
        <is>
          <t>MUNKEDAL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41382-2025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46217</v>
      </c>
      <c r="F118" t="inlineStr">
        <is>
          <t>VÄSTRA GÖTALANDS LÄN</t>
        </is>
      </c>
      <c r="G118" t="inlineStr">
        <is>
          <t>MUNKEDAL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41813-2025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46217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35645-2023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45147</v>
      </c>
      <c r="E120" s="1" t="n">
        <v>46217</v>
      </c>
      <c r="F120" t="inlineStr">
        <is>
          <t>VÄSTRA GÖTALANDS LÄN</t>
        </is>
      </c>
      <c r="G120" t="inlineStr">
        <is>
          <t>MUNKEDAL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41811-2025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46217</v>
      </c>
      <c r="F121" t="inlineStr">
        <is>
          <t>VÄSTRA GÖTALANDS LÄN</t>
        </is>
      </c>
      <c r="G121" t="inlineStr">
        <is>
          <t>MUNKEDAL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35139-2023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46217</v>
      </c>
      <c r="F122" t="inlineStr">
        <is>
          <t>VÄSTRA GÖTALANDS LÄN</t>
        </is>
      </c>
      <c r="G122" t="inlineStr">
        <is>
          <t>MUNKEDAL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42252-2025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46217</v>
      </c>
      <c r="F123" t="inlineStr">
        <is>
          <t>VÄSTRA GÖTALANDS LÄN</t>
        </is>
      </c>
      <c r="G123" t="inlineStr">
        <is>
          <t>MUNKEDAL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42836-2025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46217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46217</v>
      </c>
      <c r="F125" t="inlineStr">
        <is>
          <t>VÄSTRA GÖTALANDS LÄN</t>
        </is>
      </c>
      <c r="G125" t="inlineStr">
        <is>
          <t>MUNKEDAL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46217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46217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45640</v>
      </c>
      <c r="E128" s="1" t="n">
        <v>46217</v>
      </c>
      <c r="F128" t="inlineStr">
        <is>
          <t>VÄSTRA GÖTALANDS LÄN</t>
        </is>
      </c>
      <c r="G128" t="inlineStr">
        <is>
          <t>MUNKEDAL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45640</v>
      </c>
      <c r="E129" s="1" t="n">
        <v>46217</v>
      </c>
      <c r="F129" t="inlineStr">
        <is>
          <t>VÄSTRA GÖTALANDS LÄN</t>
        </is>
      </c>
      <c r="G129" t="inlineStr">
        <is>
          <t>MUNKEDAL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43446-2025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46217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43452-2025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46217</v>
      </c>
      <c r="F131" t="inlineStr">
        <is>
          <t>VÄSTRA GÖTALANDS LÄN</t>
        </is>
      </c>
      <c r="G131" t="inlineStr">
        <is>
          <t>MUNKEDAL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43834-2025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46217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7844-2022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44608</v>
      </c>
      <c r="E133" s="1" t="n">
        <v>46217</v>
      </c>
      <c r="F133" t="inlineStr">
        <is>
          <t>VÄSTRA GÖTALANDS LÄN</t>
        </is>
      </c>
      <c r="G133" t="inlineStr">
        <is>
          <t>MUNKEDAL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46217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18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44453-2025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46217</v>
      </c>
      <c r="F135" t="inlineStr">
        <is>
          <t>VÄSTRA GÖTALANDS LÄN</t>
        </is>
      </c>
      <c r="G135" t="inlineStr">
        <is>
          <t>MUNKEDAL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36948-2025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45874</v>
      </c>
      <c r="E136" s="1" t="n">
        <v>46217</v>
      </c>
      <c r="F136" t="inlineStr">
        <is>
          <t>VÄSTRA GÖTALANDS LÄN</t>
        </is>
      </c>
      <c r="G136" t="inlineStr">
        <is>
          <t>MUNKEDAL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46583-2025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46217</v>
      </c>
      <c r="F137" t="inlineStr">
        <is>
          <t>VÄSTRA GÖTALANDS LÄN</t>
        </is>
      </c>
      <c r="G137" t="inlineStr">
        <is>
          <t>MUNKEDAL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46217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45486-2025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45921</v>
      </c>
      <c r="E139" s="1" t="n">
        <v>46217</v>
      </c>
      <c r="F139" t="inlineStr">
        <is>
          <t>VÄSTRA GÖTALANDS LÄN</t>
        </is>
      </c>
      <c r="G139" t="inlineStr">
        <is>
          <t>MUNKEDAL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46418-2024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46217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46217</v>
      </c>
      <c r="F141" t="inlineStr">
        <is>
          <t>VÄSTRA GÖTALANDS LÄN</t>
        </is>
      </c>
      <c r="G141" t="inlineStr">
        <is>
          <t>MUNKEDAL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28667-2022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44748</v>
      </c>
      <c r="E142" s="1" t="n">
        <v>46217</v>
      </c>
      <c r="F142" t="inlineStr">
        <is>
          <t>VÄSTRA GÖTALANDS LÄN</t>
        </is>
      </c>
      <c r="G142" t="inlineStr">
        <is>
          <t>MUNKEDAL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30308-2022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46217</v>
      </c>
      <c r="F143" t="inlineStr">
        <is>
          <t>VÄSTRA GÖTALANDS LÄN</t>
        </is>
      </c>
      <c r="G143" t="inlineStr">
        <is>
          <t>MUNKEDAL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33192-2023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45127</v>
      </c>
      <c r="E144" s="1" t="n">
        <v>46217</v>
      </c>
      <c r="F144" t="inlineStr">
        <is>
          <t>VÄSTRA GÖTALANDS LÄN</t>
        </is>
      </c>
      <c r="G144" t="inlineStr">
        <is>
          <t>MUNKEDAL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13303-2023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45005</v>
      </c>
      <c r="E145" s="1" t="n">
        <v>46217</v>
      </c>
      <c r="F145" t="inlineStr">
        <is>
          <t>VÄSTRA GÖTALANDS LÄN</t>
        </is>
      </c>
      <c r="G145" t="inlineStr">
        <is>
          <t>MUNKEDAL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9739-2023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46217</v>
      </c>
      <c r="F146" t="inlineStr">
        <is>
          <t>VÄSTRA GÖTALANDS LÄN</t>
        </is>
      </c>
      <c r="G146" t="inlineStr">
        <is>
          <t>MUNKEDAL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46217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46217</v>
      </c>
      <c r="F148" t="inlineStr">
        <is>
          <t>VÄSTRA GÖTALANDS LÄN</t>
        </is>
      </c>
      <c r="G148" t="inlineStr">
        <is>
          <t>MUNKEDAL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30131-2024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46217</v>
      </c>
      <c r="F149" t="inlineStr">
        <is>
          <t>VÄSTRA GÖTALANDS LÄN</t>
        </is>
      </c>
      <c r="G149" t="inlineStr">
        <is>
          <t>MUNKEDAL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13561-2024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45388</v>
      </c>
      <c r="E150" s="1" t="n">
        <v>46217</v>
      </c>
      <c r="F150" t="inlineStr">
        <is>
          <t>VÄSTRA GÖTALANDS LÄN</t>
        </is>
      </c>
      <c r="G150" t="inlineStr">
        <is>
          <t>MUNKEDAL</t>
        </is>
      </c>
      <c r="I150" t="n">
        <v>9.6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56766-2023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46217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53424-2023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46217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57409-2022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46217</v>
      </c>
      <c r="F153" t="inlineStr">
        <is>
          <t>VÄSTRA GÖTALANDS LÄN</t>
        </is>
      </c>
      <c r="G153" t="inlineStr">
        <is>
          <t>MUNKEDAL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46217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28569-2025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46217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46217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20456-2026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46217</v>
      </c>
      <c r="F157" t="inlineStr">
        <is>
          <t>VÄSTRA GÖTALANDS LÄN</t>
        </is>
      </c>
      <c r="G157" t="inlineStr">
        <is>
          <t>MUNKEDAL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48754-2025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46217</v>
      </c>
      <c r="F158" t="inlineStr">
        <is>
          <t>VÄSTRA GÖTALANDS LÄN</t>
        </is>
      </c>
      <c r="G158" t="inlineStr">
        <is>
          <t>MUNKEDAL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46217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57619-2024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46217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57625-2024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46217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57630-2024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46217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46217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59132-2022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46217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28559-2025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46217</v>
      </c>
      <c r="F165" t="inlineStr">
        <is>
          <t>VÄSTRA GÖTALANDS LÄN</t>
        </is>
      </c>
      <c r="G165" t="inlineStr">
        <is>
          <t>MUNKEDAL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53412-2023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46217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45678</v>
      </c>
      <c r="E167" s="1" t="n">
        <v>46217</v>
      </c>
      <c r="F167" t="inlineStr">
        <is>
          <t>VÄSTRA GÖTALANDS LÄN</t>
        </is>
      </c>
      <c r="G167" t="inlineStr">
        <is>
          <t>MUNKEDAL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52555-2025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46217</v>
      </c>
      <c r="F168" t="inlineStr">
        <is>
          <t>VÄSTRA GÖTALANDS LÄN</t>
        </is>
      </c>
      <c r="G168" t="inlineStr">
        <is>
          <t>MUNKEDAL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46217</v>
      </c>
      <c r="F169" t="inlineStr">
        <is>
          <t>VÄSTRA GÖTALANDS LÄN</t>
        </is>
      </c>
      <c r="G169" t="inlineStr">
        <is>
          <t>MUNKEDAL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49731-2025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45939</v>
      </c>
      <c r="E170" s="1" t="n">
        <v>46217</v>
      </c>
      <c r="F170" t="inlineStr">
        <is>
          <t>VÄSTRA GÖTALANDS LÄN</t>
        </is>
      </c>
      <c r="G170" t="inlineStr">
        <is>
          <t>MUNKEDAL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43438-2021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44432</v>
      </c>
      <c r="E171" s="1" t="n">
        <v>46217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59160-2022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46217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Kyrkan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43547-2021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44432</v>
      </c>
      <c r="E173" s="1" t="n">
        <v>46217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46217</v>
      </c>
      <c r="F174" t="inlineStr">
        <is>
          <t>VÄSTRA GÖTALANDS LÄN</t>
        </is>
      </c>
      <c r="G174" t="inlineStr">
        <is>
          <t>MUNKEDAL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13658-2025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45736</v>
      </c>
      <c r="E175" s="1" t="n">
        <v>46217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11812-2025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46217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Kommuner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20220-2023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45055</v>
      </c>
      <c r="E177" s="1" t="n">
        <v>46217</v>
      </c>
      <c r="F177" t="inlineStr">
        <is>
          <t>VÄSTRA GÖTALANDS LÄN</t>
        </is>
      </c>
      <c r="G177" t="inlineStr">
        <is>
          <t>MUNKEDAL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62331-2023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46217</v>
      </c>
      <c r="F178" t="inlineStr">
        <is>
          <t>VÄSTRA GÖTALANDS LÄN</t>
        </is>
      </c>
      <c r="G178" t="inlineStr">
        <is>
          <t>MUNKEDAL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6723-2025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46217</v>
      </c>
      <c r="F179" t="inlineStr">
        <is>
          <t>VÄSTRA GÖTALANDS LÄN</t>
        </is>
      </c>
      <c r="G179" t="inlineStr">
        <is>
          <t>MUNKEDAL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47675-2023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46217</v>
      </c>
      <c r="F180" t="inlineStr">
        <is>
          <t>VÄSTRA GÖTALANDS LÄN</t>
        </is>
      </c>
      <c r="G180" t="inlineStr">
        <is>
          <t>MUNKEDAL</t>
        </is>
      </c>
      <c r="I180" t="n">
        <v>14.1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52115-2025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46217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22518-2023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46217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Naturvårdsverket</t>
        </is>
      </c>
      <c r="I182" t="n">
        <v>15.8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19289-2025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46217</v>
      </c>
      <c r="F183" t="inlineStr">
        <is>
          <t>VÄSTRA GÖTALANDS LÄN</t>
        </is>
      </c>
      <c r="G183" t="inlineStr">
        <is>
          <t>MUNKEDAL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30555-2023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46217</v>
      </c>
      <c r="F184" t="inlineStr">
        <is>
          <t>VÄSTRA GÖTALANDS LÄN</t>
        </is>
      </c>
      <c r="G184" t="inlineStr">
        <is>
          <t>MUNKEDAL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67233-2021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46217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46217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Kommuner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46217</v>
      </c>
      <c r="F187" t="inlineStr">
        <is>
          <t>VÄSTRA GÖTALANDS LÄN</t>
        </is>
      </c>
      <c r="G187" t="inlineStr">
        <is>
          <t>MUNKEDAL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45313</v>
      </c>
      <c r="E188" s="1" t="n">
        <v>46217</v>
      </c>
      <c r="F188" t="inlineStr">
        <is>
          <t>VÄSTRA GÖTALANDS LÄN</t>
        </is>
      </c>
      <c r="G188" t="inlineStr">
        <is>
          <t>MUNKEDAL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37331-2024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46217</v>
      </c>
      <c r="F189" t="inlineStr">
        <is>
          <t>VÄSTRA GÖTALANDS LÄN</t>
        </is>
      </c>
      <c r="G189" t="inlineStr">
        <is>
          <t>MUNKEDAL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45355</v>
      </c>
      <c r="E190" s="1" t="n">
        <v>46217</v>
      </c>
      <c r="F190" t="inlineStr">
        <is>
          <t>VÄSTRA GÖTALANDS LÄN</t>
        </is>
      </c>
      <c r="G190" t="inlineStr">
        <is>
          <t>MUNKEDAL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53839-2021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44467</v>
      </c>
      <c r="E191" s="1" t="n">
        <v>46217</v>
      </c>
      <c r="F191" t="inlineStr">
        <is>
          <t>VÄSTRA GÖTALANDS LÄN</t>
        </is>
      </c>
      <c r="G191" t="inlineStr">
        <is>
          <t>MUNKEDAL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46217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9720-2024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45362</v>
      </c>
      <c r="E193" s="1" t="n">
        <v>46217</v>
      </c>
      <c r="F193" t="inlineStr">
        <is>
          <t>VÄSTRA GÖTALANDS LÄN</t>
        </is>
      </c>
      <c r="G193" t="inlineStr">
        <is>
          <t>MUNKEDAL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20753-2026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46217</v>
      </c>
      <c r="F194" t="inlineStr">
        <is>
          <t>VÄSTRA GÖTALANDS LÄN</t>
        </is>
      </c>
      <c r="G194" t="inlineStr">
        <is>
          <t>MUNKEDAL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45296</v>
      </c>
      <c r="E195" s="1" t="n">
        <v>46217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Kyrkan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45974</v>
      </c>
      <c r="E196" s="1" t="n">
        <v>46217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20879-2026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46142</v>
      </c>
      <c r="E197" s="1" t="n">
        <v>46217</v>
      </c>
      <c r="F197" t="inlineStr">
        <is>
          <t>VÄSTRA GÖTALANDS LÄN</t>
        </is>
      </c>
      <c r="G197" t="inlineStr">
        <is>
          <t>MUNKEDAL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46217</v>
      </c>
      <c r="F198" t="inlineStr">
        <is>
          <t>VÄSTRA GÖTALANDS LÄN</t>
        </is>
      </c>
      <c r="G198" t="inlineStr">
        <is>
          <t>MUNKEDAL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46217</v>
      </c>
      <c r="F199" t="inlineStr">
        <is>
          <t>VÄSTRA GÖTALANDS LÄN</t>
        </is>
      </c>
      <c r="G199" t="inlineStr">
        <is>
          <t>MUNKEDAL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24180-2025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45796</v>
      </c>
      <c r="E200" s="1" t="n">
        <v>46217</v>
      </c>
      <c r="F200" t="inlineStr">
        <is>
          <t>VÄSTRA GÖTALANDS LÄN</t>
        </is>
      </c>
      <c r="G200" t="inlineStr">
        <is>
          <t>MUNKEDAL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46217</v>
      </c>
      <c r="F201" t="inlineStr">
        <is>
          <t>VÄSTRA GÖTALANDS LÄN</t>
        </is>
      </c>
      <c r="G201" t="inlineStr">
        <is>
          <t>MUNKEDAL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57900-2025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46217</v>
      </c>
      <c r="F202" t="inlineStr">
        <is>
          <t>VÄSTRA GÖTALANDS LÄN</t>
        </is>
      </c>
      <c r="G202" t="inlineStr">
        <is>
          <t>MUNKEDAL</t>
        </is>
      </c>
      <c r="I202" t="n">
        <v>10.9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44620-2021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44436</v>
      </c>
      <c r="E203" s="1" t="n">
        <v>46217</v>
      </c>
      <c r="F203" t="inlineStr">
        <is>
          <t>VÄSTRA GÖTALANDS LÄN</t>
        </is>
      </c>
      <c r="G203" t="inlineStr">
        <is>
          <t>MUNKEDAL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45348</v>
      </c>
      <c r="E204" s="1" t="n">
        <v>46217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23605-2023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45072</v>
      </c>
      <c r="E205" s="1" t="n">
        <v>46217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Kommuner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58515-2025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46217</v>
      </c>
      <c r="F206" t="inlineStr">
        <is>
          <t>VÄSTRA GÖTALANDS LÄN</t>
        </is>
      </c>
      <c r="G206" t="inlineStr">
        <is>
          <t>MUNKEDAL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26835-2026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46185</v>
      </c>
      <c r="E207" s="1" t="n">
        <v>46217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21230-2026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46217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46217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27607-2026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46217</v>
      </c>
      <c r="F210" t="inlineStr">
        <is>
          <t>VÄSTRA GÖTALANDS LÄN</t>
        </is>
      </c>
      <c r="G210" t="inlineStr">
        <is>
          <t>MUNKEDAL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46217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46217</v>
      </c>
      <c r="F212" t="inlineStr">
        <is>
          <t>VÄSTRA GÖTALANDS LÄN</t>
        </is>
      </c>
      <c r="G212" t="inlineStr">
        <is>
          <t>MUNKEDAL</t>
        </is>
      </c>
      <c r="I212" t="n">
        <v>16.3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58711-2025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46217</v>
      </c>
      <c r="F213" t="inlineStr">
        <is>
          <t>VÄSTRA GÖTALANDS LÄN</t>
        </is>
      </c>
      <c r="G213" t="inlineStr">
        <is>
          <t>MUNKEDAL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46217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11268-2024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46217</v>
      </c>
      <c r="F215" t="inlineStr">
        <is>
          <t>VÄSTRA GÖTALANDS LÄN</t>
        </is>
      </c>
      <c r="G215" t="inlineStr">
        <is>
          <t>MUNKEDAL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64879-2023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45282</v>
      </c>
      <c r="E216" s="1" t="n">
        <v>46217</v>
      </c>
      <c r="F216" t="inlineStr">
        <is>
          <t>VÄSTRA GÖTALANDS LÄN</t>
        </is>
      </c>
      <c r="G216" t="inlineStr">
        <is>
          <t>MUNKEDAL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24608-2026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46217</v>
      </c>
      <c r="F217" t="inlineStr">
        <is>
          <t>VÄSTRA GÖTALANDS LÄN</t>
        </is>
      </c>
      <c r="G217" t="inlineStr">
        <is>
          <t>MUNKEDAL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46217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46217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46217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46217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46217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44579</v>
      </c>
      <c r="E223" s="1" t="n">
        <v>46217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Kyrkan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46217</v>
      </c>
      <c r="F224" t="inlineStr">
        <is>
          <t>VÄSTRA GÖTALANDS LÄN</t>
        </is>
      </c>
      <c r="G224" t="inlineStr">
        <is>
          <t>MUNKEDAL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35685-2024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46217</v>
      </c>
      <c r="F225" t="inlineStr">
        <is>
          <t>VÄSTRA GÖTALANDS LÄN</t>
        </is>
      </c>
      <c r="G225" t="inlineStr">
        <is>
          <t>MUNKEDAL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56789-2021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46217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46217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15466-2025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46217</v>
      </c>
      <c r="F228" t="inlineStr">
        <is>
          <t>VÄSTRA GÖTALANDS LÄN</t>
        </is>
      </c>
      <c r="G228" t="inlineStr">
        <is>
          <t>MUNKEDAL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59150-2022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46217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Kyrkan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46217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33194-2023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45127</v>
      </c>
      <c r="E231" s="1" t="n">
        <v>46217</v>
      </c>
      <c r="F231" t="inlineStr">
        <is>
          <t>VÄSTRA GÖTALANDS LÄN</t>
        </is>
      </c>
      <c r="G231" t="inlineStr">
        <is>
          <t>MUNKEDAL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63515-2025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46217</v>
      </c>
      <c r="F232" t="inlineStr">
        <is>
          <t>VÄSTRA GÖTALANDS LÄN</t>
        </is>
      </c>
      <c r="G232" t="inlineStr">
        <is>
          <t>MUNKEDAL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53514-2024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46217</v>
      </c>
      <c r="F233" t="inlineStr">
        <is>
          <t>VÄSTRA GÖTALANDS LÄN</t>
        </is>
      </c>
      <c r="G233" t="inlineStr">
        <is>
          <t>MUNKEDAL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46022</v>
      </c>
      <c r="E234" s="1" t="n">
        <v>46217</v>
      </c>
      <c r="F234" t="inlineStr">
        <is>
          <t>VÄSTRA GÖTALANDS LÄN</t>
        </is>
      </c>
      <c r="G234" t="inlineStr">
        <is>
          <t>MUNKEDAL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64146-2025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46022</v>
      </c>
      <c r="E235" s="1" t="n">
        <v>46217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46217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58066-2021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46217</v>
      </c>
      <c r="F237" t="inlineStr">
        <is>
          <t>VÄSTRA GÖTALANDS LÄN</t>
        </is>
      </c>
      <c r="G237" t="inlineStr">
        <is>
          <t>MUNKEDAL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46217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44749</v>
      </c>
      <c r="E239" s="1" t="n">
        <v>46217</v>
      </c>
      <c r="F239" t="inlineStr">
        <is>
          <t>VÄSTRA GÖTALANDS LÄN</t>
        </is>
      </c>
      <c r="G239" t="inlineStr">
        <is>
          <t>MUNKEDAL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44755</v>
      </c>
      <c r="E240" s="1" t="n">
        <v>46217</v>
      </c>
      <c r="F240" t="inlineStr">
        <is>
          <t>VÄSTRA GÖTALANDS LÄN</t>
        </is>
      </c>
      <c r="G240" t="inlineStr">
        <is>
          <t>MUNKEDAL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45165-2024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45575</v>
      </c>
      <c r="E241" s="1" t="n">
        <v>46217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Naturvårdsverket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46217</v>
      </c>
      <c r="F242" t="inlineStr">
        <is>
          <t>VÄSTRA GÖTALANDS LÄN</t>
        </is>
      </c>
      <c r="G242" t="inlineStr">
        <is>
          <t>MUNKEDAL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46217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28919-2025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46217</v>
      </c>
      <c r="F244" t="inlineStr">
        <is>
          <t>VÄSTRA GÖTALANDS LÄN</t>
        </is>
      </c>
      <c r="G244" t="inlineStr">
        <is>
          <t>MUNKEDAL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46038</v>
      </c>
      <c r="E245" s="1" t="n">
        <v>46217</v>
      </c>
      <c r="F245" t="inlineStr">
        <is>
          <t>VÄSTRA GÖTALANDS LÄN</t>
        </is>
      </c>
      <c r="G245" t="inlineStr">
        <is>
          <t>MUNKEDAL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46217</v>
      </c>
      <c r="F246" t="inlineStr">
        <is>
          <t>VÄSTRA GÖTALANDS LÄN</t>
        </is>
      </c>
      <c r="G246" t="inlineStr">
        <is>
          <t>MUNKEDAL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44478-2023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46217</v>
      </c>
      <c r="F247" t="inlineStr">
        <is>
          <t>VÄSTRA GÖTALANDS LÄN</t>
        </is>
      </c>
      <c r="G247" t="inlineStr">
        <is>
          <t>MUNKEDAL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49574-2024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46217</v>
      </c>
      <c r="F248" t="inlineStr">
        <is>
          <t>VÄSTRA GÖTALANDS LÄN</t>
        </is>
      </c>
      <c r="G248" t="inlineStr">
        <is>
          <t>MUNKEDAL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49576-2024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46217</v>
      </c>
      <c r="F249" t="inlineStr">
        <is>
          <t>VÄSTRA GÖTALANDS LÄN</t>
        </is>
      </c>
      <c r="G249" t="inlineStr">
        <is>
          <t>MUNKEDAL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46440-2024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46217</v>
      </c>
      <c r="F250" t="inlineStr">
        <is>
          <t>VÄSTRA GÖTALANDS LÄN</t>
        </is>
      </c>
      <c r="G250" t="inlineStr">
        <is>
          <t>MUNKEDAL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41716-2024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45560</v>
      </c>
      <c r="E251" s="1" t="n">
        <v>46217</v>
      </c>
      <c r="F251" t="inlineStr">
        <is>
          <t>VÄSTRA GÖTALANDS LÄN</t>
        </is>
      </c>
      <c r="G251" t="inlineStr">
        <is>
          <t>MUNKEDAL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29415-2023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46217</v>
      </c>
      <c r="F252" t="inlineStr">
        <is>
          <t>VÄSTRA GÖTALANDS LÄN</t>
        </is>
      </c>
      <c r="G252" t="inlineStr">
        <is>
          <t>MUNKEDAL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4371-2026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46217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46217</v>
      </c>
      <c r="F254" t="inlineStr">
        <is>
          <t>VÄSTRA GÖTALANDS LÄN</t>
        </is>
      </c>
      <c r="G254" t="inlineStr">
        <is>
          <t>MUNKEDAL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46217</v>
      </c>
      <c r="F255" t="inlineStr">
        <is>
          <t>VÄSTRA GÖTALANDS LÄN</t>
        </is>
      </c>
      <c r="G255" t="inlineStr">
        <is>
          <t>MUNKEDAL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28692-2024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46217</v>
      </c>
      <c r="F256" t="inlineStr">
        <is>
          <t>VÄSTRA GÖTALANDS LÄN</t>
        </is>
      </c>
      <c r="G256" t="inlineStr">
        <is>
          <t>MUNKEDAL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22959-2026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46217</v>
      </c>
      <c r="F257" t="inlineStr">
        <is>
          <t>VÄSTRA GÖTALANDS LÄN</t>
        </is>
      </c>
      <c r="G257" t="inlineStr">
        <is>
          <t>MUNKEDAL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44593</v>
      </c>
      <c r="E258" s="1" t="n">
        <v>46217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45325</v>
      </c>
      <c r="E259" s="1" t="n">
        <v>46217</v>
      </c>
      <c r="F259" t="inlineStr">
        <is>
          <t>VÄSTRA GÖTALANDS LÄN</t>
        </is>
      </c>
      <c r="G259" t="inlineStr">
        <is>
          <t>MUNKEDAL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46217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46050</v>
      </c>
      <c r="E261" s="1" t="n">
        <v>46217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Kyrkan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46052</v>
      </c>
      <c r="E262" s="1" t="n">
        <v>46217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13661-2025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46217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46217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58157-2025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46217</v>
      </c>
      <c r="F265" t="inlineStr">
        <is>
          <t>VÄSTRA GÖTALANDS LÄN</t>
        </is>
      </c>
      <c r="G265" t="inlineStr">
        <is>
          <t>MUNKEDAL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29515-2026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46217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statliga verk och myndigheter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49912-2023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45214</v>
      </c>
      <c r="E267" s="1" t="n">
        <v>46217</v>
      </c>
      <c r="F267" t="inlineStr">
        <is>
          <t>VÄSTRA GÖTALANDS LÄN</t>
        </is>
      </c>
      <c r="G267" t="inlineStr">
        <is>
          <t>MUNKEDAL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46217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Kyrkan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7656-2026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46217</v>
      </c>
      <c r="F269" t="inlineStr">
        <is>
          <t>VÄSTRA GÖTALANDS LÄN</t>
        </is>
      </c>
      <c r="G269" t="inlineStr">
        <is>
          <t>MUNKEDAL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46217</v>
      </c>
      <c r="F270" t="inlineStr">
        <is>
          <t>VÄSTRA GÖTALANDS LÄN</t>
        </is>
      </c>
      <c r="G270" t="inlineStr">
        <is>
          <t>MUNKEDAL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7950-2026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46217</v>
      </c>
      <c r="F271" t="inlineStr">
        <is>
          <t>VÄSTRA GÖTALANDS LÄN</t>
        </is>
      </c>
      <c r="G271" t="inlineStr">
        <is>
          <t>MUNKEDAL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8257-2026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46064</v>
      </c>
      <c r="E272" s="1" t="n">
        <v>46217</v>
      </c>
      <c r="F272" t="inlineStr">
        <is>
          <t>VÄSTRA GÖTALANDS LÄN</t>
        </is>
      </c>
      <c r="G272" t="inlineStr">
        <is>
          <t>MUNKEDAL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35647-2023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45147</v>
      </c>
      <c r="E273" s="1" t="n">
        <v>46217</v>
      </c>
      <c r="F273" t="inlineStr">
        <is>
          <t>VÄSTRA GÖTALANDS LÄN</t>
        </is>
      </c>
      <c r="G273" t="inlineStr">
        <is>
          <t>MUNKEDAL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34222-2023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45138</v>
      </c>
      <c r="E274" s="1" t="n">
        <v>46217</v>
      </c>
      <c r="F274" t="inlineStr">
        <is>
          <t>VÄSTRA GÖTALANDS LÄN</t>
        </is>
      </c>
      <c r="G274" t="inlineStr">
        <is>
          <t>MUNKEDAL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18278-2025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45762</v>
      </c>
      <c r="E275" s="1" t="n">
        <v>46217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10096-2026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46073</v>
      </c>
      <c r="E276" s="1" t="n">
        <v>46217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10097-2026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46217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37419-2023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45155</v>
      </c>
      <c r="E278" s="1" t="n">
        <v>46217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10775-2026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46217</v>
      </c>
      <c r="F279" t="inlineStr">
        <is>
          <t>VÄSTRA GÖTALANDS LÄN</t>
        </is>
      </c>
      <c r="G279" t="inlineStr">
        <is>
          <t>MUNKEDAL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29451-2026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46203</v>
      </c>
      <c r="E280" s="1" t="n">
        <v>46217</v>
      </c>
      <c r="F280" t="inlineStr">
        <is>
          <t>VÄSTRA GÖTALANDS LÄN</t>
        </is>
      </c>
      <c r="G280" t="inlineStr">
        <is>
          <t>MUNKEDAL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36906-2023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46217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6809-2024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46217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Kyrkan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46217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12624-2026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46217</v>
      </c>
      <c r="F284" t="inlineStr">
        <is>
          <t>VÄSTRA GÖTALANDS LÄN</t>
        </is>
      </c>
      <c r="G284" t="inlineStr">
        <is>
          <t>MUNKEDAL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16105-2025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45750</v>
      </c>
      <c r="E285" s="1" t="n">
        <v>46217</v>
      </c>
      <c r="F285" t="inlineStr">
        <is>
          <t>VÄSTRA GÖTALANDS LÄN</t>
        </is>
      </c>
      <c r="G285" t="inlineStr">
        <is>
          <t>MUNKEDAL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45314</v>
      </c>
      <c r="E286" s="1" t="n">
        <v>46217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46217</v>
      </c>
      <c r="F287" t="inlineStr">
        <is>
          <t>VÄSTRA GÖTALANDS LÄN</t>
        </is>
      </c>
      <c r="G287" t="inlineStr">
        <is>
          <t>MUNKEDAL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22857-2022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44715</v>
      </c>
      <c r="E288" s="1" t="n">
        <v>46217</v>
      </c>
      <c r="F288" t="inlineStr">
        <is>
          <t>VÄSTRA GÖTALANDS LÄN</t>
        </is>
      </c>
      <c r="G288" t="inlineStr">
        <is>
          <t>MUNKEDAL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46217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46101</v>
      </c>
      <c r="E290" s="1" t="n">
        <v>46217</v>
      </c>
      <c r="F290" t="inlineStr">
        <is>
          <t>VÄSTRA GÖTALANDS LÄN</t>
        </is>
      </c>
      <c r="G290" t="inlineStr">
        <is>
          <t>MUNKEDAL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46217</v>
      </c>
      <c r="F291" t="inlineStr">
        <is>
          <t>VÄSTRA GÖTALANDS LÄN</t>
        </is>
      </c>
      <c r="G291" t="inlineStr">
        <is>
          <t>MUNKEDAL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37327-2022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44806</v>
      </c>
      <c r="E292" s="1" t="n">
        <v>46217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25.2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50038-2023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46217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14607-2026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46217</v>
      </c>
      <c r="F294" t="inlineStr">
        <is>
          <t>VÄSTRA GÖTALANDS LÄN</t>
        </is>
      </c>
      <c r="G294" t="inlineStr">
        <is>
          <t>MUNKEDAL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61885-2023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46217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23876-2026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46217</v>
      </c>
      <c r="F296" t="inlineStr">
        <is>
          <t>VÄSTRA GÖTALANDS LÄN</t>
        </is>
      </c>
      <c r="G296" t="inlineStr">
        <is>
          <t>MUNKEDAL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21125-2022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44704</v>
      </c>
      <c r="E297" s="1" t="n">
        <v>46217</v>
      </c>
      <c r="F297" t="inlineStr">
        <is>
          <t>VÄSTRA GÖTALANDS LÄN</t>
        </is>
      </c>
      <c r="G297" t="inlineStr">
        <is>
          <t>MUNKEDAL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45293</v>
      </c>
      <c r="E298" s="1" t="n">
        <v>46217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45296</v>
      </c>
      <c r="E299" s="1" t="n">
        <v>46217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23872-2026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46217</v>
      </c>
      <c r="F300" t="inlineStr">
        <is>
          <t>VÄSTRA GÖTALANDS LÄN</t>
        </is>
      </c>
      <c r="G300" t="inlineStr">
        <is>
          <t>MUNKEDAL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16330-2026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46217</v>
      </c>
      <c r="F301" t="inlineStr">
        <is>
          <t>VÄSTRA GÖTALANDS LÄN</t>
        </is>
      </c>
      <c r="G301" t="inlineStr">
        <is>
          <t>MUNKEDAL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16405-2026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46217</v>
      </c>
      <c r="F302" t="inlineStr">
        <is>
          <t>VÄSTRA GÖTALANDS LÄN</t>
        </is>
      </c>
      <c r="G302" t="inlineStr">
        <is>
          <t>MUNKEDAL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16410-2026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46217</v>
      </c>
      <c r="F303" t="inlineStr">
        <is>
          <t>VÄSTRA GÖTALANDS LÄN</t>
        </is>
      </c>
      <c r="G303" t="inlineStr">
        <is>
          <t>MUNKEDAL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16416-2026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46217</v>
      </c>
      <c r="F304" t="inlineStr">
        <is>
          <t>VÄSTRA GÖTALANDS LÄN</t>
        </is>
      </c>
      <c r="G304" t="inlineStr">
        <is>
          <t>MUNKEDAL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46217</v>
      </c>
      <c r="F305" t="inlineStr">
        <is>
          <t>VÄSTRA GÖTALANDS LÄN</t>
        </is>
      </c>
      <c r="G305" t="inlineStr">
        <is>
          <t>MUNKEDAL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42005-2023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46217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Kyrkan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16407-2026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46111</v>
      </c>
      <c r="E307" s="1" t="n">
        <v>46217</v>
      </c>
      <c r="F307" t="inlineStr">
        <is>
          <t>VÄSTRA GÖTALANDS LÄN</t>
        </is>
      </c>
      <c r="G307" t="inlineStr">
        <is>
          <t>MUNKEDAL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51409-2022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44866</v>
      </c>
      <c r="E308" s="1" t="n">
        <v>46217</v>
      </c>
      <c r="F308" t="inlineStr">
        <is>
          <t>VÄSTRA GÖTALANDS LÄN</t>
        </is>
      </c>
      <c r="G308" t="inlineStr">
        <is>
          <t>MUNKEDAL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26699-2024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45470</v>
      </c>
      <c r="E309" s="1" t="n">
        <v>46217</v>
      </c>
      <c r="F309" t="inlineStr">
        <is>
          <t>VÄSTRA GÖTALANDS LÄN</t>
        </is>
      </c>
      <c r="G309" t="inlineStr">
        <is>
          <t>MUNKEDAL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45123-2021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44439</v>
      </c>
      <c r="E310" s="1" t="n">
        <v>46217</v>
      </c>
      <c r="F310" t="inlineStr">
        <is>
          <t>VÄSTRA GÖTALANDS LÄN</t>
        </is>
      </c>
      <c r="G310" t="inlineStr">
        <is>
          <t>MUNKEDAL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24403-2026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46169</v>
      </c>
      <c r="E311" s="1" t="n">
        <v>46217</v>
      </c>
      <c r="F311" t="inlineStr">
        <is>
          <t>VÄSTRA GÖTALANDS LÄN</t>
        </is>
      </c>
      <c r="G311" t="inlineStr">
        <is>
          <t>MUNKEDAL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54955-2024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45619</v>
      </c>
      <c r="E312" s="1" t="n">
        <v>46217</v>
      </c>
      <c r="F312" t="inlineStr">
        <is>
          <t>VÄSTRA GÖTALANDS LÄN</t>
        </is>
      </c>
      <c r="G312" t="inlineStr">
        <is>
          <t>MUNKEDAL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24393-2026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46217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54001-2023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46217</v>
      </c>
      <c r="F314" t="inlineStr">
        <is>
          <t>VÄSTRA GÖTALANDS LÄN</t>
        </is>
      </c>
      <c r="G314" t="inlineStr">
        <is>
          <t>MUNKEDAL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45469-2023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46217</v>
      </c>
      <c r="F315" t="inlineStr">
        <is>
          <t>VÄSTRA GÖTALANDS LÄN</t>
        </is>
      </c>
      <c r="G315" t="inlineStr">
        <is>
          <t>MUNKEDAL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41521-2023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45175</v>
      </c>
      <c r="E316" s="1" t="n">
        <v>46217</v>
      </c>
      <c r="F316" t="inlineStr">
        <is>
          <t>VÄSTRA GÖTALANDS LÄN</t>
        </is>
      </c>
      <c r="G316" t="inlineStr">
        <is>
          <t>MUNKEDAL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18569-2026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46217</v>
      </c>
      <c r="F317" t="inlineStr">
        <is>
          <t>VÄSTRA GÖTALANDS LÄN</t>
        </is>
      </c>
      <c r="G317" t="inlineStr">
        <is>
          <t>MUNKEDAL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16631-2022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44672</v>
      </c>
      <c r="E318" s="1" t="n">
        <v>46217</v>
      </c>
      <c r="F318" t="inlineStr">
        <is>
          <t>VÄSTRA GÖTALANDS LÄN</t>
        </is>
      </c>
      <c r="G318" t="inlineStr">
        <is>
          <t>MUNKEDAL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19173-2026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46217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11262-2024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45371</v>
      </c>
      <c r="E320" s="1" t="n">
        <v>46217</v>
      </c>
      <c r="F320" t="inlineStr">
        <is>
          <t>VÄSTRA GÖTALANDS LÄN</t>
        </is>
      </c>
      <c r="G320" t="inlineStr">
        <is>
          <t>MUNKEDAL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19022-2026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46131</v>
      </c>
      <c r="E321" s="1" t="n">
        <v>46217</v>
      </c>
      <c r="F321" t="inlineStr">
        <is>
          <t>VÄSTRA GÖTALANDS LÄN</t>
        </is>
      </c>
      <c r="G321" t="inlineStr">
        <is>
          <t>MUNKEDAL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45322</v>
      </c>
      <c r="E322" s="1" t="n">
        <v>46217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46217</v>
      </c>
      <c r="F323" t="inlineStr">
        <is>
          <t>VÄSTRA GÖTALANDS LÄN</t>
        </is>
      </c>
      <c r="G323" t="inlineStr">
        <is>
          <t>MUNKEDAL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19593-2026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46217</v>
      </c>
      <c r="F324" t="inlineStr">
        <is>
          <t>VÄSTRA GÖTALANDS LÄN</t>
        </is>
      </c>
      <c r="G324" t="inlineStr">
        <is>
          <t>MUNKEDAL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15300-2024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46217</v>
      </c>
      <c r="F325" t="inlineStr">
        <is>
          <t>VÄSTRA GÖTALANDS LÄN</t>
        </is>
      </c>
      <c r="G325" t="inlineStr">
        <is>
          <t>MUNKEDAL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18280-2026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46217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7389-2022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44606</v>
      </c>
      <c r="E327" s="1" t="n">
        <v>46217</v>
      </c>
      <c r="F327" t="inlineStr">
        <is>
          <t>VÄSTRA GÖTALANDS LÄN</t>
        </is>
      </c>
      <c r="G327" t="inlineStr">
        <is>
          <t>MUNKEDAL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30133-2024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45489</v>
      </c>
      <c r="E328" s="1" t="n">
        <v>46217</v>
      </c>
      <c r="F328" t="inlineStr">
        <is>
          <t>VÄSTRA GÖTALANDS LÄN</t>
        </is>
      </c>
      <c r="G328" t="inlineStr">
        <is>
          <t>MUNKEDAL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62090-2023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46217</v>
      </c>
      <c r="F329" t="inlineStr">
        <is>
          <t>VÄSTRA GÖTALANDS LÄN</t>
        </is>
      </c>
      <c r="G329" t="inlineStr">
        <is>
          <t>MUNKEDAL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24809-2023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46217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24150-2023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45076</v>
      </c>
      <c r="E331" s="1" t="n">
        <v>46217</v>
      </c>
      <c r="F331" t="inlineStr">
        <is>
          <t>VÄSTRA GÖTALANDS LÄN</t>
        </is>
      </c>
      <c r="G331" t="inlineStr">
        <is>
          <t>MUNKEDAL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38544-2024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46217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15853-2023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45022</v>
      </c>
      <c r="E333" s="1" t="n">
        <v>46217</v>
      </c>
      <c r="F333" t="inlineStr">
        <is>
          <t>VÄSTRA GÖTALANDS LÄN</t>
        </is>
      </c>
      <c r="G333" t="inlineStr">
        <is>
          <t>MUNKEDAL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49218-2022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44861</v>
      </c>
      <c r="E334" s="1" t="n">
        <v>46217</v>
      </c>
      <c r="F334" t="inlineStr">
        <is>
          <t>VÄSTRA GÖTALANDS LÄN</t>
        </is>
      </c>
      <c r="G334" t="inlineStr">
        <is>
          <t>MUNKEDAL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44937</v>
      </c>
      <c r="E335" s="1" t="n">
        <v>46217</v>
      </c>
      <c r="F335" t="inlineStr">
        <is>
          <t>VÄSTRA GÖTALANDS LÄN</t>
        </is>
      </c>
      <c r="G335" t="inlineStr">
        <is>
          <t>MUNKEDAL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47378-2021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44447</v>
      </c>
      <c r="E336" s="1" t="n">
        <v>46217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21.7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2635-2022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44580</v>
      </c>
      <c r="E337" s="1" t="n">
        <v>46217</v>
      </c>
      <c r="F337" t="inlineStr">
        <is>
          <t>VÄSTRA GÖTALANDS LÄN</t>
        </is>
      </c>
      <c r="G337" t="inlineStr">
        <is>
          <t>MUNKEDAL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46217</v>
      </c>
      <c r="F338" t="inlineStr">
        <is>
          <t>VÄSTRA GÖTALANDS LÄN</t>
        </is>
      </c>
      <c r="G338" t="inlineStr">
        <is>
          <t>MUNKEDAL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19361-2023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46217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49946-2021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44454</v>
      </c>
      <c r="E340" s="1" t="n">
        <v>46217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22452-2023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45070</v>
      </c>
      <c r="E341" s="1" t="n">
        <v>46217</v>
      </c>
      <c r="F341" t="inlineStr">
        <is>
          <t>VÄSTRA GÖTALANDS LÄN</t>
        </is>
      </c>
      <c r="G341" t="inlineStr">
        <is>
          <t>MUNKEDAL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46217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24185-2023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46217</v>
      </c>
      <c r="F343" t="inlineStr">
        <is>
          <t>VÄSTRA GÖTALANDS LÄN</t>
        </is>
      </c>
      <c r="G343" t="inlineStr">
        <is>
          <t>MUNKEDAL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54933-2024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45618</v>
      </c>
      <c r="E344" s="1" t="n">
        <v>46217</v>
      </c>
      <c r="F344" t="inlineStr">
        <is>
          <t>VÄSTRA GÖTALANDS LÄN</t>
        </is>
      </c>
      <c r="G344" t="inlineStr">
        <is>
          <t>MUNKEDAL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30456-2023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46217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Naturvårdsverket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30554-2023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45111</v>
      </c>
      <c r="E346" s="1" t="n">
        <v>46217</v>
      </c>
      <c r="F346" t="inlineStr">
        <is>
          <t>VÄSTRA GÖTALANDS LÄN</t>
        </is>
      </c>
      <c r="G346" t="inlineStr">
        <is>
          <t>MUNKEDAL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62463-2023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45268</v>
      </c>
      <c r="E347" s="1" t="n">
        <v>46217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46217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28393-2022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44747</v>
      </c>
      <c r="E349" s="1" t="n">
        <v>46217</v>
      </c>
      <c r="F349" t="inlineStr">
        <is>
          <t>VÄSTRA GÖTALANDS LÄN</t>
        </is>
      </c>
      <c r="G349" t="inlineStr">
        <is>
          <t>MUNKEDAL</t>
        </is>
      </c>
      <c r="I349" t="n">
        <v>9.800000000000001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29959-2024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45488</v>
      </c>
      <c r="E350" s="1" t="n">
        <v>46217</v>
      </c>
      <c r="F350" t="inlineStr">
        <is>
          <t>VÄSTRA GÖTALANDS LÄN</t>
        </is>
      </c>
      <c r="G350" t="inlineStr">
        <is>
          <t>MUNKEDAL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46217</v>
      </c>
      <c r="F351" t="inlineStr">
        <is>
          <t>VÄSTRA GÖTALANDS LÄN</t>
        </is>
      </c>
      <c r="G351" t="inlineStr">
        <is>
          <t>MUNKEDAL</t>
        </is>
      </c>
      <c r="I351" t="n">
        <v>20.2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46217</v>
      </c>
      <c r="F352" t="inlineStr">
        <is>
          <t>VÄSTRA GÖTALANDS LÄN</t>
        </is>
      </c>
      <c r="G352" t="inlineStr">
        <is>
          <t>MUNKEDAL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24088-2024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46217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46217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29969-2024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45488</v>
      </c>
      <c r="E355" s="1" t="n">
        <v>46217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37389-2024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45540</v>
      </c>
      <c r="E356" s="1" t="n">
        <v>46217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18159-2025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46217</v>
      </c>
      <c r="F357" t="inlineStr">
        <is>
          <t>VÄSTRA GÖTALANDS LÄN</t>
        </is>
      </c>
      <c r="G357" t="inlineStr">
        <is>
          <t>MUNKEDAL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32300-2023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46217</v>
      </c>
      <c r="F358" t="inlineStr">
        <is>
          <t>VÄSTRA GÖTALANDS LÄN</t>
        </is>
      </c>
      <c r="G358" t="inlineStr">
        <is>
          <t>MUNKEDAL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45667</v>
      </c>
      <c r="E359" s="1" t="n">
        <v>46217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11525-2023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44993</v>
      </c>
      <c r="E360" s="1" t="n">
        <v>46217</v>
      </c>
      <c r="F360" t="inlineStr">
        <is>
          <t>VÄSTRA GÖTALANDS LÄN</t>
        </is>
      </c>
      <c r="G360" t="inlineStr">
        <is>
          <t>MUNKEDAL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21625-2023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45063</v>
      </c>
      <c r="E361" s="1" t="n">
        <v>46217</v>
      </c>
      <c r="F361" t="inlineStr">
        <is>
          <t>VÄSTRA GÖTALANDS LÄN</t>
        </is>
      </c>
      <c r="G361" t="inlineStr">
        <is>
          <t>MUNKEDAL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11425-2022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44630</v>
      </c>
      <c r="E362" s="1" t="n">
        <v>46217</v>
      </c>
      <c r="F362" t="inlineStr">
        <is>
          <t>VÄSTRA GÖTALANDS LÄN</t>
        </is>
      </c>
      <c r="G362" t="inlineStr">
        <is>
          <t>MUNKEDAL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45620</v>
      </c>
      <c r="E363" s="1" t="n">
        <v>46217</v>
      </c>
      <c r="F363" t="inlineStr">
        <is>
          <t>VÄSTRA GÖTALANDS LÄN</t>
        </is>
      </c>
      <c r="G363" t="inlineStr">
        <is>
          <t>MUNKEDAL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45674</v>
      </c>
      <c r="E364" s="1" t="n">
        <v>46217</v>
      </c>
      <c r="F364" t="inlineStr">
        <is>
          <t>VÄSTRA GÖTALANDS LÄN</t>
        </is>
      </c>
      <c r="G364" t="inlineStr">
        <is>
          <t>MUNKEDAL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54760-2024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45618</v>
      </c>
      <c r="E365" s="1" t="n">
        <v>46217</v>
      </c>
      <c r="F365" t="inlineStr">
        <is>
          <t>VÄSTRA GÖTALANDS LÄN</t>
        </is>
      </c>
      <c r="G365" t="inlineStr">
        <is>
          <t>MUNKEDAL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62098-2022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44920</v>
      </c>
      <c r="E366" s="1" t="n">
        <v>46217</v>
      </c>
      <c r="F366" t="inlineStr">
        <is>
          <t>VÄSTRA GÖTALANDS LÄN</t>
        </is>
      </c>
      <c r="G366" t="inlineStr">
        <is>
          <t>MUNKEDAL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62101-2022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44920</v>
      </c>
      <c r="E367" s="1" t="n">
        <v>46217</v>
      </c>
      <c r="F367" t="inlineStr">
        <is>
          <t>VÄSTRA GÖTALANDS LÄN</t>
        </is>
      </c>
      <c r="G367" t="inlineStr">
        <is>
          <t>MUNKEDAL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1576-2024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46217</v>
      </c>
      <c r="F368" t="inlineStr">
        <is>
          <t>VÄSTRA GÖTALANDS LÄN</t>
        </is>
      </c>
      <c r="G368" t="inlineStr">
        <is>
          <t>MUNKEDAL</t>
        </is>
      </c>
      <c r="I368" t="n">
        <v>25.2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4029-2025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46217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61377-2023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46217</v>
      </c>
      <c r="F370" t="inlineStr">
        <is>
          <t>VÄSTRA GÖTALANDS LÄN</t>
        </is>
      </c>
      <c r="G370" t="inlineStr">
        <is>
          <t>MUNKEDAL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50034-2023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45215</v>
      </c>
      <c r="E371" s="1" t="n">
        <v>46217</v>
      </c>
      <c r="F371" t="inlineStr">
        <is>
          <t>VÄSTRA GÖTALANDS LÄN</t>
        </is>
      </c>
      <c r="G371" t="inlineStr">
        <is>
          <t>MUNKEDAL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46217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20251-2022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44698</v>
      </c>
      <c r="E373" s="1" t="n">
        <v>46217</v>
      </c>
      <c r="F373" t="inlineStr">
        <is>
          <t>VÄSTRA GÖTALANDS LÄN</t>
        </is>
      </c>
      <c r="G373" t="inlineStr">
        <is>
          <t>MUNKEDAL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21063-2025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46217</v>
      </c>
      <c r="F374" t="inlineStr">
        <is>
          <t>VÄSTRA GÖTALANDS LÄN</t>
        </is>
      </c>
      <c r="G374" t="inlineStr">
        <is>
          <t>MUNKEDAL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45614</v>
      </c>
      <c r="E375" s="1" t="n">
        <v>46217</v>
      </c>
      <c r="F375" t="inlineStr">
        <is>
          <t>VÄSTRA GÖTALANDS LÄN</t>
        </is>
      </c>
      <c r="G375" t="inlineStr">
        <is>
          <t>MUNKEDAL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21134-2025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45778</v>
      </c>
      <c r="E376" s="1" t="n">
        <v>46217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45778</v>
      </c>
      <c r="E377" s="1" t="n">
        <v>46217</v>
      </c>
      <c r="F377" t="inlineStr">
        <is>
          <t>VÄSTRA GÖTALANDS LÄN</t>
        </is>
      </c>
      <c r="G377" t="inlineStr">
        <is>
          <t>MUNKEDAL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21086-2025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46217</v>
      </c>
      <c r="F378" t="inlineStr">
        <is>
          <t>VÄSTRA GÖTALANDS LÄN</t>
        </is>
      </c>
      <c r="G378" t="inlineStr">
        <is>
          <t>MUNKEDAL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21981-2025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46217</v>
      </c>
      <c r="F379" t="inlineStr">
        <is>
          <t>VÄSTRA GÖTALANDS LÄN</t>
        </is>
      </c>
      <c r="G379" t="inlineStr">
        <is>
          <t>MUNKEDAL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21984-2025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46217</v>
      </c>
      <c r="F380" t="inlineStr">
        <is>
          <t>VÄSTRA GÖTALANDS LÄN</t>
        </is>
      </c>
      <c r="G380" t="inlineStr">
        <is>
          <t>MUNKEDAL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14107-2025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46217</v>
      </c>
      <c r="F381" t="inlineStr">
        <is>
          <t>VÄSTRA GÖTALANDS LÄN</t>
        </is>
      </c>
      <c r="G381" t="inlineStr">
        <is>
          <t>MUNKEDAL</t>
        </is>
      </c>
      <c r="I381" t="n">
        <v>13.8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14327-2025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46217</v>
      </c>
      <c r="F382" t="inlineStr">
        <is>
          <t>VÄSTRA GÖTALANDS LÄN</t>
        </is>
      </c>
      <c r="G382" t="inlineStr">
        <is>
          <t>MUNKEDAL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16650-2024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45408</v>
      </c>
      <c r="E383" s="1" t="n">
        <v>46217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10228-2025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45720</v>
      </c>
      <c r="E384" s="1" t="n">
        <v>46217</v>
      </c>
      <c r="F384" t="inlineStr">
        <is>
          <t>VÄSTRA GÖTALANDS LÄN</t>
        </is>
      </c>
      <c r="G384" t="inlineStr">
        <is>
          <t>MUNKEDAL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10633-2025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46217</v>
      </c>
      <c r="F385" t="inlineStr">
        <is>
          <t>VÄSTRA GÖTALANDS LÄN</t>
        </is>
      </c>
      <c r="G385" t="inlineStr">
        <is>
          <t>MUNKEDAL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9558-2025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46217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26.5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23527-2025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45792</v>
      </c>
      <c r="E387" s="1" t="n">
        <v>46217</v>
      </c>
      <c r="F387" t="inlineStr">
        <is>
          <t>VÄSTRA GÖTALANDS LÄN</t>
        </is>
      </c>
      <c r="G387" t="inlineStr">
        <is>
          <t>MUNKEDAL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6222-2025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45696</v>
      </c>
      <c r="E388" s="1" t="n">
        <v>46217</v>
      </c>
      <c r="F388" t="inlineStr">
        <is>
          <t>VÄSTRA GÖTALANDS LÄN</t>
        </is>
      </c>
      <c r="G388" t="inlineStr">
        <is>
          <t>MUNKEDAL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24396-2025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45797</v>
      </c>
      <c r="E389" s="1" t="n">
        <v>46217</v>
      </c>
      <c r="F389" t="inlineStr">
        <is>
          <t>VÄSTRA GÖTALANDS LÄN</t>
        </is>
      </c>
      <c r="G389" t="inlineStr">
        <is>
          <t>MUNKEDAL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24397-2025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46217</v>
      </c>
      <c r="F390" t="inlineStr">
        <is>
          <t>VÄSTRA GÖTALANDS LÄN</t>
        </is>
      </c>
      <c r="G390" t="inlineStr">
        <is>
          <t>MUNKEDAL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51411-2022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44866</v>
      </c>
      <c r="E391" s="1" t="n">
        <v>46217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44482-2023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45189</v>
      </c>
      <c r="E392" s="1" t="n">
        <v>46217</v>
      </c>
      <c r="F392" t="inlineStr">
        <is>
          <t>VÄSTRA GÖTALANDS LÄN</t>
        </is>
      </c>
      <c r="G392" t="inlineStr">
        <is>
          <t>MUNKEDAL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47758-2024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46217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25406-2025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46217</v>
      </c>
      <c r="F394" t="inlineStr">
        <is>
          <t>VÄSTRA GÖTALANDS LÄN</t>
        </is>
      </c>
      <c r="G394" t="inlineStr">
        <is>
          <t>MUNKEDAL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25607-2025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46217</v>
      </c>
      <c r="F395" t="inlineStr">
        <is>
          <t>VÄSTRA GÖTALANDS LÄN</t>
        </is>
      </c>
      <c r="G395" t="inlineStr">
        <is>
          <t>MUNKEDAL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19631-2022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44694</v>
      </c>
      <c r="E396" s="1" t="n">
        <v>46217</v>
      </c>
      <c r="F396" t="inlineStr">
        <is>
          <t>VÄSTRA GÖTALANDS LÄN</t>
        </is>
      </c>
      <c r="G396" t="inlineStr">
        <is>
          <t>MUNKEDAL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56867-2024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45625</v>
      </c>
      <c r="E397" s="1" t="n">
        <v>46217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Kyrkan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40647-2024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45557</v>
      </c>
      <c r="E398" s="1" t="n">
        <v>46217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29305-2025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46217</v>
      </c>
      <c r="F399" t="inlineStr">
        <is>
          <t>VÄSTRA GÖTALANDS LÄN</t>
        </is>
      </c>
      <c r="G399" t="inlineStr">
        <is>
          <t>MUNKEDAL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45826</v>
      </c>
      <c r="E400" s="1" t="n">
        <v>46217</v>
      </c>
      <c r="F400" t="inlineStr">
        <is>
          <t>VÄSTRA GÖTALANDS LÄN</t>
        </is>
      </c>
      <c r="G400" t="inlineStr">
        <is>
          <t>MUNKEDAL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30614-2025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46217</v>
      </c>
      <c r="F401" t="inlineStr">
        <is>
          <t>VÄSTRA GÖTALANDS LÄN</t>
        </is>
      </c>
      <c r="G401" t="inlineStr">
        <is>
          <t>MUNKEDAL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31176-2025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46217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34080-2025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46217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34083-2025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46217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58325-2024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45632</v>
      </c>
      <c r="E405" s="1" t="n">
        <v>46217</v>
      </c>
      <c r="F405" t="inlineStr">
        <is>
          <t>VÄSTRA GÖTALANDS LÄN</t>
        </is>
      </c>
      <c r="G405" t="inlineStr">
        <is>
          <t>MUNKEDAL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34624-2025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45847</v>
      </c>
      <c r="E406" s="1" t="n">
        <v>46217</v>
      </c>
      <c r="F406" t="inlineStr">
        <is>
          <t>VÄSTRA GÖTALANDS LÄN</t>
        </is>
      </c>
      <c r="G406" t="inlineStr">
        <is>
          <t>MUNKEDAL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34978-2025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46217</v>
      </c>
      <c r="F407" t="inlineStr">
        <is>
          <t>VÄSTRA GÖTALANDS LÄN</t>
        </is>
      </c>
      <c r="G407" t="inlineStr">
        <is>
          <t>MUNKEDAL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16968-2025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46217</v>
      </c>
      <c r="F408" t="inlineStr">
        <is>
          <t>VÄSTRA GÖTALANDS LÄN</t>
        </is>
      </c>
      <c r="G408" t="inlineStr">
        <is>
          <t>MUNKEDAL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46217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46217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46217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46217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46217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2026-07-14T09:02:12Z</dcterms:created>
  <dcterms:modified xmlns:dcterms="http://purl.org/dc/terms/" xmlns:xsi="http://www.w3.org/2001/XMLSchema-instance" xsi:type="dcterms:W3CDTF">2026-07-14T09:02:13Z</dcterms:modified>
</cp:coreProperties>
</file>