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46318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46318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46318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46318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46318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46318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46318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46318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46318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46318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46318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9934-2023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46318</v>
      </c>
      <c r="F14" t="inlineStr">
        <is>
          <t>VÄSTRA GÖTALANDS LÄN</t>
        </is>
      </c>
      <c r="G14" t="inlineStr">
        <is>
          <t>MUNKEDAL</t>
        </is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HYPERLINK("https://klasma.github.io/Logging_1430/artfynd/A 9934-2023 artfynd.xlsx", "A 9934-2023")</f>
        <v/>
      </c>
      <c r="X14">
        <f>HYPERLINK("https://klasma.github.io/Logging_1430/kartor/A 9934-2023 karta.png", "A 9934-2023")</f>
        <v/>
      </c>
      <c r="Y14">
        <f>HYPERLINK("https://klasma.github.io/Logging_1430/kartor_geotiff/A 9934-2023 georefererad karta.tif", "A 9934-2023")</f>
        <v/>
      </c>
      <c r="AA14">
        <f>HYPERLINK("https://klasma.github.io/Logging_1430/klagomål/A 9934-2023 FSC-klagomål.docx", "A 9934-2023")</f>
        <v/>
      </c>
      <c r="AB14">
        <f>HYPERLINK("https://klasma.github.io/Logging_1430/klagomålsmail/A 9934-2023 FSC-klagomål mail.docx", "A 9934-2023")</f>
        <v/>
      </c>
      <c r="AC14">
        <f>HYPERLINK("https://klasma.github.io/Logging_1430/tillsyn/A 9934-2023 tillsynsbegäran.docx", "A 9934-2023")</f>
        <v/>
      </c>
      <c r="AD14">
        <f>HYPERLINK("https://klasma.github.io/Logging_1430/tillsynsmail/A 9934-2023 tillsynsbegäran mail.docx", "A 9934-2023")</f>
        <v/>
      </c>
      <c r="AE14">
        <f>HYPERLINK("https://klasma.github.io/Logging_1430/fåglar/A 9934-2023 prioriterade fågelarter.docx", "A 9934-2023")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46318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46318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2887-2025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46318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9.699999999999999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Krusfrö</t>
        </is>
      </c>
      <c r="W17">
        <f>HYPERLINK("https://klasma.github.io/Logging_1430/artfynd/A 2887-2025 artfynd.xlsx", "A 2887-2025")</f>
        <v/>
      </c>
      <c r="X17">
        <f>HYPERLINK("https://klasma.github.io/Logging_1430/kartor/A 2887-2025 karta.png", "A 2887-2025")</f>
        <v/>
      </c>
      <c r="Y17">
        <f>HYPERLINK("https://klasma.github.io/Logging_1430/kartor_geotiff/A 2887-2025 georefererad karta.tif", "A 2887-2025")</f>
        <v/>
      </c>
      <c r="AA17">
        <f>HYPERLINK("https://klasma.github.io/Logging_1430/klagomål/A 2887-2025 FSC-klagomål.docx", "A 2887-2025")</f>
        <v/>
      </c>
      <c r="AB17">
        <f>HYPERLINK("https://klasma.github.io/Logging_1430/klagomålsmail/A 2887-2025 FSC-klagomål mail.docx", "A 2887-2025")</f>
        <v/>
      </c>
      <c r="AC17">
        <f>HYPERLINK("https://klasma.github.io/Logging_1430/tillsyn/A 2887-2025 tillsynsbegäran.docx", "A 2887-2025")</f>
        <v/>
      </c>
      <c r="AD17">
        <f>HYPERLINK("https://klasma.github.io/Logging_1430/tillsynsmail/A 2887-2025 tillsynsbegäran mail.docx", "A 2887-2025")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46318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46318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46318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23065-2026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46318</v>
      </c>
      <c r="F21" t="inlineStr">
        <is>
          <t>VÄSTRA GÖTALANDS LÄN</t>
        </is>
      </c>
      <c r="G21" t="inlineStr">
        <is>
          <t>MUNKEDAL</t>
        </is>
      </c>
      <c r="I21" t="n">
        <v>7.5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23065-2026 artfynd.xlsx", "A 23065-2026")</f>
        <v/>
      </c>
      <c r="X21">
        <f>HYPERLINK("https://klasma.github.io/Logging_1430/kartor/A 23065-2026 karta.png", "A 23065-2026")</f>
        <v/>
      </c>
      <c r="Y21">
        <f>HYPERLINK("https://klasma.github.io/Logging_1430/kartor_geotiff/A 23065-2026 georefererad karta.tif", "A 23065-2026")</f>
        <v/>
      </c>
      <c r="AA21">
        <f>HYPERLINK("https://klasma.github.io/Logging_1430/klagomål/A 23065-2026 FSC-klagomål.docx", "A 23065-2026")</f>
        <v/>
      </c>
      <c r="AB21">
        <f>HYPERLINK("https://klasma.github.io/Logging_1430/klagomålsmail/A 23065-2026 FSC-klagomål mail.docx", "A 23065-2026")</f>
        <v/>
      </c>
      <c r="AC21">
        <f>HYPERLINK("https://klasma.github.io/Logging_1430/tillsyn/A 23065-2026 tillsynsbegäran.docx", "A 23065-2026")</f>
        <v/>
      </c>
      <c r="AD21">
        <f>HYPERLINK("https://klasma.github.io/Logging_1430/tillsynsmail/A 23065-2026 tillsynsbegäran mail.docx", "A 23065-2026")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46318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45083-2024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46318</v>
      </c>
      <c r="F23" t="inlineStr">
        <is>
          <t>VÄSTRA GÖTALANDS LÄN</t>
        </is>
      </c>
      <c r="G23" t="inlineStr">
        <is>
          <t>MUNKEDAL</t>
        </is>
      </c>
      <c r="I23" t="n">
        <v>2.7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HYPERLINK("https://klasma.github.io/Logging_1430/artfynd/A 45083-2024 artfynd.xlsx", "A 45083-2024")</f>
        <v/>
      </c>
      <c r="X23">
        <f>HYPERLINK("https://klasma.github.io/Logging_1430/kartor/A 45083-2024 karta.png", "A 45083-2024")</f>
        <v/>
      </c>
      <c r="Y23">
        <f>HYPERLINK("https://klasma.github.io/Logging_1430/kartor_geotiff/A 45083-2024 georefererad karta.tif", "A 45083-2024")</f>
        <v/>
      </c>
      <c r="AA23">
        <f>HYPERLINK("https://klasma.github.io/Logging_1430/klagomål/A 45083-2024 FSC-klagomål.docx", "A 45083-2024")</f>
        <v/>
      </c>
      <c r="AB23">
        <f>HYPERLINK("https://klasma.github.io/Logging_1430/klagomålsmail/A 45083-2024 FSC-klagomål mail.docx", "A 45083-2024")</f>
        <v/>
      </c>
      <c r="AC23">
        <f>HYPERLINK("https://klasma.github.io/Logging_1430/tillsyn/A 45083-2024 tillsynsbegäran.docx", "A 45083-2024")</f>
        <v/>
      </c>
      <c r="AD23">
        <f>HYPERLINK("https://klasma.github.io/Logging_1430/tillsynsmail/A 45083-2024 tillsynsbegäran mail.docx", "A 45083-2024")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46318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36912-2023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46318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Jaktfalk</t>
        </is>
      </c>
      <c r="W25">
        <f>HYPERLINK("https://klasma.github.io/Logging_1430/artfynd/A 36912-2023 artfynd.xlsx", "A 36912-2023")</f>
        <v/>
      </c>
      <c r="X25">
        <f>HYPERLINK("https://klasma.github.io/Logging_1430/kartor/A 36912-2023 karta.png", "A 36912-2023")</f>
        <v/>
      </c>
      <c r="Y25">
        <f>HYPERLINK("https://klasma.github.io/Logging_1430/kartor_geotiff/A 36912-2023 georefererad karta.tif", "A 36912-2023")</f>
        <v/>
      </c>
      <c r="AA25">
        <f>HYPERLINK("https://klasma.github.io/Logging_1430/klagomål/A 36912-2023 FSC-klagomål.docx", "A 36912-2023")</f>
        <v/>
      </c>
      <c r="AB25">
        <f>HYPERLINK("https://klasma.github.io/Logging_1430/klagomålsmail/A 36912-2023 FSC-klagomål mail.docx", "A 36912-2023")</f>
        <v/>
      </c>
      <c r="AC25">
        <f>HYPERLINK("https://klasma.github.io/Logging_1430/tillsyn/A 36912-2023 tillsynsbegäran.docx", "A 36912-2023")</f>
        <v/>
      </c>
      <c r="AD25">
        <f>HYPERLINK("https://klasma.github.io/Logging_1430/tillsynsmail/A 36912-2023 tillsynsbegäran mail.docx", "A 36912-2023")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46318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20258-2022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44698</v>
      </c>
      <c r="E27" s="1" t="n">
        <v>46318</v>
      </c>
      <c r="F27" t="inlineStr">
        <is>
          <t>VÄSTRA GÖTALANDS LÄN</t>
        </is>
      </c>
      <c r="G27" t="inlineStr">
        <is>
          <t>MUNKEDAL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Honungsvaxing</t>
        </is>
      </c>
      <c r="W27">
        <f>HYPERLINK("https://klasma.github.io/Logging_1430/artfynd/A 20258-2022 artfynd.xlsx", "A 20258-2022")</f>
        <v/>
      </c>
      <c r="X27">
        <f>HYPERLINK("https://klasma.github.io/Logging_1430/kartor/A 20258-2022 karta.png", "A 20258-2022")</f>
        <v/>
      </c>
      <c r="Y27">
        <f>HYPERLINK("https://klasma.github.io/Logging_1430/kartor_geotiff/A 20258-2022 georefererad karta.tif", "A 20258-2022")</f>
        <v/>
      </c>
      <c r="AA27">
        <f>HYPERLINK("https://klasma.github.io/Logging_1430/klagomål/A 20258-2022 FSC-klagomål.docx", "A 20258-2022")</f>
        <v/>
      </c>
      <c r="AB27">
        <f>HYPERLINK("https://klasma.github.io/Logging_1430/klagomålsmail/A 20258-2022 FSC-klagomål mail.docx", "A 20258-2022")</f>
        <v/>
      </c>
      <c r="AC27">
        <f>HYPERLINK("https://klasma.github.io/Logging_1430/tillsyn/A 20258-2022 tillsynsbegäran.docx", "A 20258-2022")</f>
        <v/>
      </c>
      <c r="AD27">
        <f>HYPERLINK("https://klasma.github.io/Logging_1430/tillsynsmail/A 20258-2022 tillsynsbegäran mail.docx", "A 20258-2022")</f>
        <v/>
      </c>
    </row>
    <row r="28" ht="15" customHeight="1">
      <c r="A28" t="inlineStr">
        <is>
          <t>A 62525-2021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46318</v>
      </c>
      <c r="F28" t="inlineStr">
        <is>
          <t>VÄSTRA GÖTALANDS LÄN</t>
        </is>
      </c>
      <c r="G28" t="inlineStr">
        <is>
          <t>MUNKEDAL</t>
        </is>
      </c>
      <c r="I28" t="n">
        <v>14.5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Trollsmultron</t>
        </is>
      </c>
      <c r="W28">
        <f>HYPERLINK("https://klasma.github.io/Logging_1430/artfynd/A 62525-2021 artfynd.xlsx", "A 62525-2021")</f>
        <v/>
      </c>
      <c r="X28">
        <f>HYPERLINK("https://klasma.github.io/Logging_1430/kartor/A 62525-2021 karta.png", "A 62525-2021")</f>
        <v/>
      </c>
      <c r="Y28">
        <f>HYPERLINK("https://klasma.github.io/Logging_1430/kartor_geotiff/A 62525-2021 georefererad karta.tif", "A 62525-2021")</f>
        <v/>
      </c>
      <c r="AA28">
        <f>HYPERLINK("https://klasma.github.io/Logging_1430/klagomål/A 62525-2021 FSC-klagomål.docx", "A 62525-2021")</f>
        <v/>
      </c>
      <c r="AB28">
        <f>HYPERLINK("https://klasma.github.io/Logging_1430/klagomålsmail/A 62525-2021 FSC-klagomål mail.docx", "A 62525-2021")</f>
        <v/>
      </c>
      <c r="AC28">
        <f>HYPERLINK("https://klasma.github.io/Logging_1430/tillsyn/A 62525-2021 tillsynsbegäran.docx", "A 62525-2021")</f>
        <v/>
      </c>
      <c r="AD28">
        <f>HYPERLINK("https://klasma.github.io/Logging_1430/tillsynsmail/A 62525-2021 tillsynsbegäran mail.docx", "A 62525-2021")</f>
        <v/>
      </c>
    </row>
    <row r="29" ht="15" customHeight="1">
      <c r="A29" t="inlineStr">
        <is>
          <t>S 622-2024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46318</v>
      </c>
      <c r="F29" t="inlineStr">
        <is>
          <t>VÄSTRA GÖTALANDS LÄN</t>
        </is>
      </c>
      <c r="G29" t="inlineStr">
        <is>
          <t>MUNKEDAL</t>
        </is>
      </c>
      <c r="I29" t="n">
        <v>22.5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HYPERLINK("https://klasma.github.io/Logging_1430/artfynd/S 622-2024 artfynd.xlsx", "S 622-2024")</f>
        <v/>
      </c>
      <c r="X29">
        <f>HYPERLINK("https://klasma.github.io/Logging_1430/kartor/S 622-2024 karta.png", "S 622-2024")</f>
        <v/>
      </c>
      <c r="Y29">
        <f>HYPERLINK("https://klasma.github.io/Logging_1430/kartor_geotiff/S 622-2024 georefererad karta.tif", "S 622-2024")</f>
        <v/>
      </c>
      <c r="AA29">
        <f>HYPERLINK("https://klasma.github.io/Logging_1430/klagomål/S 622-2024 FSC-klagomål.docx", "S 622-2024")</f>
        <v/>
      </c>
      <c r="AB29">
        <f>HYPERLINK("https://klasma.github.io/Logging_1430/klagomålsmail/S 622-2024 FSC-klagomål mail.docx", "S 622-2024")</f>
        <v/>
      </c>
      <c r="AC29">
        <f>HYPERLINK("https://klasma.github.io/Logging_1430/tillsyn/S 622-2024 tillsynsbegäran.docx", "S 622-2024")</f>
        <v/>
      </c>
      <c r="AD29">
        <f>HYPERLINK("https://klasma.github.io/Logging_1430/tillsynsmail/S 622-2024 tillsynsbegäran mail.docx", "S 622-2024")</f>
        <v/>
      </c>
      <c r="AE29">
        <f>HYPERLINK("https://klasma.github.io/Logging_1430/fåglar/S 622-2024 prioriterade fågelarter.docx", "S 622-2024")</f>
        <v/>
      </c>
    </row>
    <row r="30" ht="15" customHeight="1">
      <c r="A30" t="inlineStr">
        <is>
          <t>A 56037-2022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46318</v>
      </c>
      <c r="F30" t="inlineStr">
        <is>
          <t>VÄSTRA GÖTALANDS LÄN</t>
        </is>
      </c>
      <c r="G30" t="inlineStr">
        <is>
          <t>MUNKEDAL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73977-2021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44554</v>
      </c>
      <c r="E31" s="1" t="n">
        <v>46318</v>
      </c>
      <c r="F31" t="inlineStr">
        <is>
          <t>VÄSTRA GÖTALANDS LÄN</t>
        </is>
      </c>
      <c r="G31" t="inlineStr">
        <is>
          <t>MUNKEDAL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46318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46318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63901-2021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46318</v>
      </c>
      <c r="F34" t="inlineStr">
        <is>
          <t>VÄSTRA GÖTALANDS LÄN</t>
        </is>
      </c>
      <c r="G34" t="inlineStr">
        <is>
          <t>MUNKEDAL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46318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46318</v>
      </c>
      <c r="F36" t="inlineStr">
        <is>
          <t>VÄSTRA GÖTALANDS LÄN</t>
        </is>
      </c>
      <c r="G36" t="inlineStr">
        <is>
          <t>MUNKEDAL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46318</v>
      </c>
      <c r="F37" t="inlineStr">
        <is>
          <t>VÄSTRA GÖTALANDS LÄN</t>
        </is>
      </c>
      <c r="G37" t="inlineStr">
        <is>
          <t>MUNKEDAL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68333-2021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44527</v>
      </c>
      <c r="E38" s="1" t="n">
        <v>46318</v>
      </c>
      <c r="F38" t="inlineStr">
        <is>
          <t>VÄSTRA GÖTALANDS LÄN</t>
        </is>
      </c>
      <c r="G38" t="inlineStr">
        <is>
          <t>MUNKEDAL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46318</v>
      </c>
      <c r="F39" t="inlineStr">
        <is>
          <t>VÄSTRA GÖTALANDS LÄN</t>
        </is>
      </c>
      <c r="G39" t="inlineStr">
        <is>
          <t>MUNKEDAL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46318</v>
      </c>
      <c r="F40" t="inlineStr">
        <is>
          <t>VÄSTRA GÖTALANDS LÄN</t>
        </is>
      </c>
      <c r="G40" t="inlineStr">
        <is>
          <t>MUNKEDAL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46318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46318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21129-2022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44704</v>
      </c>
      <c r="E43" s="1" t="n">
        <v>46318</v>
      </c>
      <c r="F43" t="inlineStr">
        <is>
          <t>VÄSTRA GÖTALANDS LÄN</t>
        </is>
      </c>
      <c r="G43" t="inlineStr">
        <is>
          <t>MUNKEDAL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46318</v>
      </c>
      <c r="F44" t="inlineStr">
        <is>
          <t>VÄSTRA GÖTALANDS LÄN</t>
        </is>
      </c>
      <c r="G44" t="inlineStr">
        <is>
          <t>MUNKEDAL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46318</v>
      </c>
      <c r="F45" t="inlineStr">
        <is>
          <t>VÄSTRA GÖTALANDS LÄN</t>
        </is>
      </c>
      <c r="G45" t="inlineStr">
        <is>
          <t>MUNKEDAL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46318</v>
      </c>
      <c r="F46" t="inlineStr">
        <is>
          <t>VÄSTRA GÖTALANDS LÄN</t>
        </is>
      </c>
      <c r="G46" t="inlineStr">
        <is>
          <t>MUNKEDAL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46318</v>
      </c>
      <c r="F47" t="inlineStr">
        <is>
          <t>VÄSTRA GÖTALANDS LÄN</t>
        </is>
      </c>
      <c r="G47" t="inlineStr">
        <is>
          <t>MUNKEDAL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46318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46318</v>
      </c>
      <c r="F49" t="inlineStr">
        <is>
          <t>VÄSTRA GÖTALANDS LÄN</t>
        </is>
      </c>
      <c r="G49" t="inlineStr">
        <is>
          <t>MUNKEDAL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46318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46318</v>
      </c>
      <c r="F51" t="inlineStr">
        <is>
          <t>VÄSTRA GÖTALANDS LÄN</t>
        </is>
      </c>
      <c r="G51" t="inlineStr">
        <is>
          <t>MUNKEDAL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45097</v>
      </c>
      <c r="E52" s="1" t="n">
        <v>46318</v>
      </c>
      <c r="F52" t="inlineStr">
        <is>
          <t>VÄSTRA GÖTALANDS LÄN</t>
        </is>
      </c>
      <c r="G52" t="inlineStr">
        <is>
          <t>MUNKEDAL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46318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46318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45678</v>
      </c>
      <c r="E55" s="1" t="n">
        <v>46318</v>
      </c>
      <c r="F55" t="inlineStr">
        <is>
          <t>VÄSTRA GÖTALANDS LÄN</t>
        </is>
      </c>
      <c r="G55" t="inlineStr">
        <is>
          <t>MUNKEDAL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46318</v>
      </c>
      <c r="F56" t="inlineStr">
        <is>
          <t>VÄSTRA GÖTALANDS LÄN</t>
        </is>
      </c>
      <c r="G56" t="inlineStr">
        <is>
          <t>MUNKEDAL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45456</v>
      </c>
      <c r="E57" s="1" t="n">
        <v>46318</v>
      </c>
      <c r="F57" t="inlineStr">
        <is>
          <t>VÄSTRA GÖTALANDS LÄN</t>
        </is>
      </c>
      <c r="G57" t="inlineStr">
        <is>
          <t>MUNKEDAL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44866</v>
      </c>
      <c r="E58" s="1" t="n">
        <v>46318</v>
      </c>
      <c r="F58" t="inlineStr">
        <is>
          <t>VÄSTRA GÖTALANDS LÄN</t>
        </is>
      </c>
      <c r="G58" t="inlineStr">
        <is>
          <t>MUNKEDAL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45147</v>
      </c>
      <c r="E59" s="1" t="n">
        <v>46318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46318</v>
      </c>
      <c r="F60" t="inlineStr">
        <is>
          <t>VÄSTRA GÖTALANDS LÄN</t>
        </is>
      </c>
      <c r="G60" t="inlineStr">
        <is>
          <t>MUNKEDAL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46318</v>
      </c>
      <c r="F61" t="inlineStr">
        <is>
          <t>VÄSTRA GÖTALANDS LÄN</t>
        </is>
      </c>
      <c r="G61" t="inlineStr">
        <is>
          <t>MUNKEDAL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45803</v>
      </c>
      <c r="E62" s="1" t="n">
        <v>46318</v>
      </c>
      <c r="F62" t="inlineStr">
        <is>
          <t>VÄSTRA GÖTALANDS LÄN</t>
        </is>
      </c>
      <c r="G62" t="inlineStr">
        <is>
          <t>MUNKEDAL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46318</v>
      </c>
      <c r="F63" t="inlineStr">
        <is>
          <t>VÄSTRA GÖTALANDS LÄN</t>
        </is>
      </c>
      <c r="G63" t="inlineStr">
        <is>
          <t>MUNKEDAL</t>
        </is>
      </c>
      <c r="I63" t="n">
        <v>20.2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46318</v>
      </c>
      <c r="F64" t="inlineStr">
        <is>
          <t>VÄSTRA GÖTALANDS LÄN</t>
        </is>
      </c>
      <c r="G64" t="inlineStr">
        <is>
          <t>MUNKEDAL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46318</v>
      </c>
      <c r="F65" t="inlineStr">
        <is>
          <t>VÄSTRA GÖTALANDS LÄN</t>
        </is>
      </c>
      <c r="G65" t="inlineStr">
        <is>
          <t>MUNKEDAL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44694</v>
      </c>
      <c r="E66" s="1" t="n">
        <v>46318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45488</v>
      </c>
      <c r="E67" s="1" t="n">
        <v>46318</v>
      </c>
      <c r="F67" t="inlineStr">
        <is>
          <t>VÄSTRA GÖTALANDS LÄN</t>
        </is>
      </c>
      <c r="G67" t="inlineStr">
        <is>
          <t>MUNKEDAL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45488</v>
      </c>
      <c r="E68" s="1" t="n">
        <v>46318</v>
      </c>
      <c r="F68" t="inlineStr">
        <is>
          <t>VÄSTRA GÖTALANDS LÄN</t>
        </is>
      </c>
      <c r="G68" t="inlineStr">
        <is>
          <t>MUNKEDAL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46318</v>
      </c>
      <c r="F69" t="inlineStr">
        <is>
          <t>VÄSTRA GÖTALANDS LÄN</t>
        </is>
      </c>
      <c r="G69" t="inlineStr">
        <is>
          <t>MUNKEDAL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46318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Kyrkan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45640</v>
      </c>
      <c r="E71" s="1" t="n">
        <v>46318</v>
      </c>
      <c r="F71" t="inlineStr">
        <is>
          <t>VÄSTRA GÖTALANDS LÄN</t>
        </is>
      </c>
      <c r="G71" t="inlineStr">
        <is>
          <t>MUNKEDAL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46318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Kyrkan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40647-2024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45557</v>
      </c>
      <c r="E73" s="1" t="n">
        <v>46318</v>
      </c>
      <c r="F73" t="inlineStr">
        <is>
          <t>VÄSTRA GÖTALANDS LÄN</t>
        </is>
      </c>
      <c r="G73" t="inlineStr">
        <is>
          <t>MUNKEDAL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46318</v>
      </c>
      <c r="F74" t="inlineStr">
        <is>
          <t>VÄSTRA GÖTALANDS LÄN</t>
        </is>
      </c>
      <c r="G74" t="inlineStr">
        <is>
          <t>MUNKEDAL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46318</v>
      </c>
      <c r="F75" t="inlineStr">
        <is>
          <t>VÄSTRA GÖTALANDS LÄN</t>
        </is>
      </c>
      <c r="G75" t="inlineStr">
        <is>
          <t>MUNKEDAL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46318</v>
      </c>
      <c r="F76" t="inlineStr">
        <is>
          <t>VÄSTRA GÖTALANDS LÄN</t>
        </is>
      </c>
      <c r="G76" t="inlineStr">
        <is>
          <t>MUNKEDAL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44873</v>
      </c>
      <c r="E77" s="1" t="n">
        <v>46318</v>
      </c>
      <c r="F77" t="inlineStr">
        <is>
          <t>VÄSTRA GÖTALANDS LÄN</t>
        </is>
      </c>
      <c r="G77" t="inlineStr">
        <is>
          <t>MUNKEDAL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46318</v>
      </c>
      <c r="F78" t="inlineStr">
        <is>
          <t>VÄSTRA GÖTALANDS LÄN</t>
        </is>
      </c>
      <c r="G78" t="inlineStr">
        <is>
          <t>MUNKEDAL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46318</v>
      </c>
      <c r="F79" t="inlineStr">
        <is>
          <t>VÄSTRA GÖTALANDS LÄN</t>
        </is>
      </c>
      <c r="G79" t="inlineStr">
        <is>
          <t>MUNKEDAL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46318</v>
      </c>
      <c r="F80" t="inlineStr">
        <is>
          <t>VÄSTRA GÖTALANDS LÄN</t>
        </is>
      </c>
      <c r="G80" t="inlineStr">
        <is>
          <t>MUNKEDAL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46318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46318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46318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46318</v>
      </c>
      <c r="F84" t="inlineStr">
        <is>
          <t>VÄSTRA GÖTALANDS LÄN</t>
        </is>
      </c>
      <c r="G84" t="inlineStr">
        <is>
          <t>MUNKEDAL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46318</v>
      </c>
      <c r="F85" t="inlineStr">
        <is>
          <t>VÄSTRA GÖTALANDS LÄN</t>
        </is>
      </c>
      <c r="G85" t="inlineStr">
        <is>
          <t>MUNKEDAL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46318</v>
      </c>
      <c r="F86" t="inlineStr">
        <is>
          <t>VÄSTRA GÖTALANDS LÄN</t>
        </is>
      </c>
      <c r="G86" t="inlineStr">
        <is>
          <t>MUNKEDAL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46318</v>
      </c>
      <c r="F87" t="inlineStr">
        <is>
          <t>VÄSTRA GÖTALANDS LÄN</t>
        </is>
      </c>
      <c r="G87" t="inlineStr">
        <is>
          <t>MUNKEDAL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45268</v>
      </c>
      <c r="E88" s="1" t="n">
        <v>46318</v>
      </c>
      <c r="F88" t="inlineStr">
        <is>
          <t>VÄSTRA GÖTALANDS LÄN</t>
        </is>
      </c>
      <c r="G88" t="inlineStr">
        <is>
          <t>MUNKEDAL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46318</v>
      </c>
      <c r="F89" t="inlineStr">
        <is>
          <t>VÄSTRA GÖTALANDS LÄN</t>
        </is>
      </c>
      <c r="G89" t="inlineStr">
        <is>
          <t>MUNKEDAL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45127</v>
      </c>
      <c r="E90" s="1" t="n">
        <v>46318</v>
      </c>
      <c r="F90" t="inlineStr">
        <is>
          <t>VÄSTRA GÖTALANDS LÄN</t>
        </is>
      </c>
      <c r="G90" t="inlineStr">
        <is>
          <t>MUNKEDAL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46318</v>
      </c>
      <c r="F91" t="inlineStr">
        <is>
          <t>VÄSTRA GÖTALANDS LÄN</t>
        </is>
      </c>
      <c r="G91" t="inlineStr">
        <is>
          <t>MUNKEDAL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46318</v>
      </c>
      <c r="F92" t="inlineStr">
        <is>
          <t>VÄSTRA GÖTALANDS LÄN</t>
        </is>
      </c>
      <c r="G92" t="inlineStr">
        <is>
          <t>MUNKEDAL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46318</v>
      </c>
      <c r="F93" t="inlineStr">
        <is>
          <t>VÄSTRA GÖTALANDS LÄN</t>
        </is>
      </c>
      <c r="G93" t="inlineStr">
        <is>
          <t>MUNKEDAL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46318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46318</v>
      </c>
      <c r="F95" t="inlineStr">
        <is>
          <t>VÄSTRA GÖTALANDS LÄN</t>
        </is>
      </c>
      <c r="G95" t="inlineStr">
        <is>
          <t>MUNKEDAL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46318</v>
      </c>
      <c r="F96" t="inlineStr">
        <is>
          <t>VÄSTRA GÖTALANDS LÄN</t>
        </is>
      </c>
      <c r="G96" t="inlineStr">
        <is>
          <t>MUNKEDAL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45546</v>
      </c>
      <c r="E97" s="1" t="n">
        <v>46318</v>
      </c>
      <c r="F97" t="inlineStr">
        <is>
          <t>VÄSTRA GÖTALANDS LÄN</t>
        </is>
      </c>
      <c r="G97" t="inlineStr">
        <is>
          <t>MUNKEDAL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45632</v>
      </c>
      <c r="E98" s="1" t="n">
        <v>46318</v>
      </c>
      <c r="F98" t="inlineStr">
        <is>
          <t>VÄSTRA GÖTALANDS LÄN</t>
        </is>
      </c>
      <c r="G98" t="inlineStr">
        <is>
          <t>MUNKEDAL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46318</v>
      </c>
      <c r="F99" t="inlineStr">
        <is>
          <t>VÄSTRA GÖTALANDS LÄN</t>
        </is>
      </c>
      <c r="G99" t="inlineStr">
        <is>
          <t>MUNKEDAL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45847</v>
      </c>
      <c r="E100" s="1" t="n">
        <v>46318</v>
      </c>
      <c r="F100" t="inlineStr">
        <is>
          <t>VÄSTRA GÖTALANDS LÄN</t>
        </is>
      </c>
      <c r="G100" t="inlineStr">
        <is>
          <t>MUNKEDAL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45849</v>
      </c>
      <c r="E101" s="1" t="n">
        <v>46318</v>
      </c>
      <c r="F101" t="inlineStr">
        <is>
          <t>VÄSTRA GÖTALANDS LÄN</t>
        </is>
      </c>
      <c r="G101" t="inlineStr">
        <is>
          <t>MUNKEDAL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45667</v>
      </c>
      <c r="E102" s="1" t="n">
        <v>46318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46318</v>
      </c>
      <c r="F103" t="inlineStr">
        <is>
          <t>VÄSTRA GÖTALANDS LÄN</t>
        </is>
      </c>
      <c r="G103" t="inlineStr">
        <is>
          <t>MUNKEDAL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46318</v>
      </c>
      <c r="F104" t="inlineStr">
        <is>
          <t>VÄSTRA GÖTALANDS LÄN</t>
        </is>
      </c>
      <c r="G104" t="inlineStr">
        <is>
          <t>MUNKEDAL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46318</v>
      </c>
      <c r="F105" t="inlineStr">
        <is>
          <t>VÄSTRA GÖTALANDS LÄN</t>
        </is>
      </c>
      <c r="G105" t="inlineStr">
        <is>
          <t>MUNKEDAL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45902</v>
      </c>
      <c r="E106" s="1" t="n">
        <v>46318</v>
      </c>
      <c r="F106" t="inlineStr">
        <is>
          <t>VÄSTRA GÖTALANDS LÄN</t>
        </is>
      </c>
      <c r="G106" t="inlineStr">
        <is>
          <t>MUNKEDAL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46318</v>
      </c>
      <c r="F107" t="inlineStr">
        <is>
          <t>VÄSTRA GÖTALANDS LÄN</t>
        </is>
      </c>
      <c r="G107" t="inlineStr">
        <is>
          <t>MUNKEDAL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46318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46318</v>
      </c>
      <c r="F109" t="inlineStr">
        <is>
          <t>VÄSTRA GÖTALANDS LÄN</t>
        </is>
      </c>
      <c r="G109" t="inlineStr">
        <is>
          <t>MUNKEDAL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46318</v>
      </c>
      <c r="F110" t="inlineStr">
        <is>
          <t>VÄSTRA GÖTALANDS LÄN</t>
        </is>
      </c>
      <c r="G110" t="inlineStr">
        <is>
          <t>MUNKEDAL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45522</v>
      </c>
      <c r="E111" s="1" t="n">
        <v>46318</v>
      </c>
      <c r="F111" t="inlineStr">
        <is>
          <t>VÄSTRA GÖTALANDS LÄN</t>
        </is>
      </c>
      <c r="G111" t="inlineStr">
        <is>
          <t>MUNKEDAL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46318</v>
      </c>
      <c r="F112" t="inlineStr">
        <is>
          <t>VÄSTRA GÖTALANDS LÄN</t>
        </is>
      </c>
      <c r="G112" t="inlineStr">
        <is>
          <t>MUNKEDAL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46318</v>
      </c>
      <c r="F113" t="inlineStr">
        <is>
          <t>VÄSTRA GÖTALANDS LÄN</t>
        </is>
      </c>
      <c r="G113" t="inlineStr">
        <is>
          <t>MUNKEDAL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46318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46318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45261</v>
      </c>
      <c r="E116" s="1" t="n">
        <v>46318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46318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46318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45127</v>
      </c>
      <c r="E119" s="1" t="n">
        <v>46318</v>
      </c>
      <c r="F119" t="inlineStr">
        <is>
          <t>VÄSTRA GÖTALANDS LÄN</t>
        </is>
      </c>
      <c r="G119" t="inlineStr">
        <is>
          <t>MUNKEDAL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45667</v>
      </c>
      <c r="E120" s="1" t="n">
        <v>46318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12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45484</v>
      </c>
      <c r="E121" s="1" t="n">
        <v>46318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45486-2025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45921</v>
      </c>
      <c r="E122" s="1" t="n">
        <v>46318</v>
      </c>
      <c r="F122" t="inlineStr">
        <is>
          <t>VÄSTRA GÖTALANDS LÄN</t>
        </is>
      </c>
      <c r="G122" t="inlineStr">
        <is>
          <t>MUNKEDAL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46318</v>
      </c>
      <c r="F123" t="inlineStr">
        <is>
          <t>VÄSTRA GÖTALANDS LÄN</t>
        </is>
      </c>
      <c r="G123" t="inlineStr">
        <is>
          <t>MUNKEDAL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46318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45684</v>
      </c>
      <c r="E125" s="1" t="n">
        <v>46318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Kommuner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36906-2023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46318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46318</v>
      </c>
      <c r="F127" t="inlineStr">
        <is>
          <t>VÄSTRA GÖTALANDS LÄN</t>
        </is>
      </c>
      <c r="G127" t="inlineStr">
        <is>
          <t>MUNKEDAL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45630</v>
      </c>
      <c r="E128" s="1" t="n">
        <v>46318</v>
      </c>
      <c r="F128" t="inlineStr">
        <is>
          <t>VÄSTRA GÖTALANDS LÄN</t>
        </is>
      </c>
      <c r="G128" t="inlineStr">
        <is>
          <t>MUNKEDAL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46318</v>
      </c>
      <c r="F129" t="inlineStr">
        <is>
          <t>VÄSTRA GÖTALANDS LÄN</t>
        </is>
      </c>
      <c r="G129" t="inlineStr">
        <is>
          <t>MUNKEDAL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45229</v>
      </c>
      <c r="E130" s="1" t="n">
        <v>46318</v>
      </c>
      <c r="F130" t="inlineStr">
        <is>
          <t>VÄSTRA GÖTALANDS LÄN</t>
        </is>
      </c>
      <c r="G130" t="inlineStr">
        <is>
          <t>MUNKEDAL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46318</v>
      </c>
      <c r="F131" t="inlineStr">
        <is>
          <t>VÄSTRA GÖTALANDS LÄN</t>
        </is>
      </c>
      <c r="G131" t="inlineStr">
        <is>
          <t>MUNKEDAL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44904</v>
      </c>
      <c r="E132" s="1" t="n">
        <v>46318</v>
      </c>
      <c r="F132" t="inlineStr">
        <is>
          <t>VÄSTRA GÖTALANDS LÄN</t>
        </is>
      </c>
      <c r="G132" t="inlineStr">
        <is>
          <t>MUNKEDAL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46318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46318</v>
      </c>
      <c r="F134" t="inlineStr">
        <is>
          <t>VÄSTRA GÖTALANDS LÄN</t>
        </is>
      </c>
      <c r="G134" t="inlineStr">
        <is>
          <t>MUNKEDAL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46318</v>
      </c>
      <c r="F135" t="inlineStr">
        <is>
          <t>VÄSTRA GÖTALANDS LÄN</t>
        </is>
      </c>
      <c r="G135" t="inlineStr">
        <is>
          <t>MUNKEDAL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46318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46318</v>
      </c>
      <c r="F137" t="inlineStr">
        <is>
          <t>VÄSTRA GÖTALANDS LÄN</t>
        </is>
      </c>
      <c r="G137" t="inlineStr">
        <is>
          <t>MUNKEDAL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46318</v>
      </c>
      <c r="F138" t="inlineStr">
        <is>
          <t>VÄSTRA GÖTALANDS LÄN</t>
        </is>
      </c>
      <c r="G138" t="inlineStr">
        <is>
          <t>MUNKEDAL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46318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53412-2023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46318</v>
      </c>
      <c r="F140" t="inlineStr">
        <is>
          <t>VÄSTRA GÖTALANDS LÄN</t>
        </is>
      </c>
      <c r="G140" t="inlineStr">
        <is>
          <t>MUNKEDAL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46318</v>
      </c>
      <c r="F141" t="inlineStr">
        <is>
          <t>VÄSTRA GÖTALANDS LÄN</t>
        </is>
      </c>
      <c r="G141" t="inlineStr">
        <is>
          <t>MUNKEDAL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46318</v>
      </c>
      <c r="F142" t="inlineStr">
        <is>
          <t>VÄSTRA GÖTALANDS LÄN</t>
        </is>
      </c>
      <c r="G142" t="inlineStr">
        <is>
          <t>MUNKEDAL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46318</v>
      </c>
      <c r="F143" t="inlineStr">
        <is>
          <t>VÄSTRA GÖTALANDS LÄN</t>
        </is>
      </c>
      <c r="G143" t="inlineStr">
        <is>
          <t>MUNKEDAL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46318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46318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46318</v>
      </c>
      <c r="F146" t="inlineStr">
        <is>
          <t>VÄSTRA GÖTALANDS LÄN</t>
        </is>
      </c>
      <c r="G146" t="inlineStr">
        <is>
          <t>MUNKEDAL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46318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46318</v>
      </c>
      <c r="F148" t="inlineStr">
        <is>
          <t>VÄSTRA GÖTALANDS LÄN</t>
        </is>
      </c>
      <c r="G148" t="inlineStr">
        <is>
          <t>MUNKEDAL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45388</v>
      </c>
      <c r="E149" s="1" t="n">
        <v>46318</v>
      </c>
      <c r="F149" t="inlineStr">
        <is>
          <t>VÄSTRA GÖTALANDS LÄN</t>
        </is>
      </c>
      <c r="G149" t="inlineStr">
        <is>
          <t>MUNKEDAL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46318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Övriga Aktiebolag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46318</v>
      </c>
      <c r="F151" t="inlineStr">
        <is>
          <t>VÄSTRA GÖTALANDS LÄN</t>
        </is>
      </c>
      <c r="G151" t="inlineStr">
        <is>
          <t>MUNKEDAL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46318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46318</v>
      </c>
      <c r="F153" t="inlineStr">
        <is>
          <t>VÄSTRA GÖTALANDS LÄN</t>
        </is>
      </c>
      <c r="G153" t="inlineStr">
        <is>
          <t>MUNKEDAL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46318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Naturvårdsverket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46318</v>
      </c>
      <c r="F155" t="inlineStr">
        <is>
          <t>VÄSTRA GÖTALANDS LÄN</t>
        </is>
      </c>
      <c r="G155" t="inlineStr">
        <is>
          <t>MUNKEDAL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46318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58617-2023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45251</v>
      </c>
      <c r="E157" s="1" t="n">
        <v>46318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46318</v>
      </c>
      <c r="F158" t="inlineStr">
        <is>
          <t>VÄSTRA GÖTALANDS LÄN</t>
        </is>
      </c>
      <c r="G158" t="inlineStr">
        <is>
          <t>MUNKEDAL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46318</v>
      </c>
      <c r="F159" t="inlineStr">
        <is>
          <t>VÄSTRA GÖTALANDS LÄN</t>
        </is>
      </c>
      <c r="G159" t="inlineStr">
        <is>
          <t>MUNKEDAL</t>
        </is>
      </c>
      <c r="I159" t="n">
        <v>15.4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46318</v>
      </c>
      <c r="F160" t="inlineStr">
        <is>
          <t>VÄSTRA GÖTALANDS LÄN</t>
        </is>
      </c>
      <c r="G160" t="inlineStr">
        <is>
          <t>MUNKEDAL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46318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Naturvårdsverket</t>
        </is>
      </c>
      <c r="I161" t="n">
        <v>15.8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46318</v>
      </c>
      <c r="F162" t="inlineStr">
        <is>
          <t>VÄSTRA GÖTALANDS LÄN</t>
        </is>
      </c>
      <c r="G162" t="inlineStr">
        <is>
          <t>MUNKEDAL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46318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46318</v>
      </c>
      <c r="F164" t="inlineStr">
        <is>
          <t>VÄSTRA GÖTALANDS LÄN</t>
        </is>
      </c>
      <c r="G164" t="inlineStr">
        <is>
          <t>MUNKEDAL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46318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46318</v>
      </c>
      <c r="F166" t="inlineStr">
        <is>
          <t>VÄSTRA GÖTALANDS LÄN</t>
        </is>
      </c>
      <c r="G166" t="inlineStr">
        <is>
          <t>MUNKEDAL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45355</v>
      </c>
      <c r="E167" s="1" t="n">
        <v>46318</v>
      </c>
      <c r="F167" t="inlineStr">
        <is>
          <t>VÄSTRA GÖTALANDS LÄN</t>
        </is>
      </c>
      <c r="G167" t="inlineStr">
        <is>
          <t>MUNKEDAL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46050</v>
      </c>
      <c r="E168" s="1" t="n">
        <v>46318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Kyrkan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45489</v>
      </c>
      <c r="E169" s="1" t="n">
        <v>46318</v>
      </c>
      <c r="F169" t="inlineStr">
        <is>
          <t>VÄSTRA GÖTALANDS LÄN</t>
        </is>
      </c>
      <c r="G169" t="inlineStr">
        <is>
          <t>MUNKEDAL</t>
        </is>
      </c>
      <c r="I169" t="n">
        <v>10.3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46318</v>
      </c>
      <c r="F170" t="inlineStr">
        <is>
          <t>VÄSTRA GÖTALANDS LÄN</t>
        </is>
      </c>
      <c r="G170" t="inlineStr">
        <is>
          <t>MUNKEDAL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45072</v>
      </c>
      <c r="E171" s="1" t="n">
        <v>46318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Kommuner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46318</v>
      </c>
      <c r="F172" t="inlineStr">
        <is>
          <t>VÄSTRA GÖTALANDS LÄN</t>
        </is>
      </c>
      <c r="G172" t="inlineStr">
        <is>
          <t>MUNKEDAL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45282</v>
      </c>
      <c r="E173" s="1" t="n">
        <v>46318</v>
      </c>
      <c r="F173" t="inlineStr">
        <is>
          <t>VÄSTRA GÖTALANDS LÄN</t>
        </is>
      </c>
      <c r="G173" t="inlineStr">
        <is>
          <t>MUNKEDAL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46318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46318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Kommuner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46318</v>
      </c>
      <c r="F176" t="inlineStr">
        <is>
          <t>VÄSTRA GÖTALANDS LÄN</t>
        </is>
      </c>
      <c r="G176" t="inlineStr">
        <is>
          <t>MUNKEDAL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24180-2025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45796</v>
      </c>
      <c r="E177" s="1" t="n">
        <v>46318</v>
      </c>
      <c r="F177" t="inlineStr">
        <is>
          <t>VÄSTRA GÖTALANDS LÄN</t>
        </is>
      </c>
      <c r="G177" t="inlineStr">
        <is>
          <t>MUNKEDAL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46318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Kommuner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45348</v>
      </c>
      <c r="E179" s="1" t="n">
        <v>46318</v>
      </c>
      <c r="F179" t="inlineStr">
        <is>
          <t>VÄSTRA GÖTALANDS LÄN</t>
        </is>
      </c>
      <c r="G179" t="inlineStr">
        <is>
          <t>MUNKEDAL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45055</v>
      </c>
      <c r="E180" s="1" t="n">
        <v>46318</v>
      </c>
      <c r="F180" t="inlineStr">
        <is>
          <t>VÄSTRA GÖTALANDS LÄN</t>
        </is>
      </c>
      <c r="G180" t="inlineStr">
        <is>
          <t>MUNKEDAL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46318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46318</v>
      </c>
      <c r="F182" t="inlineStr">
        <is>
          <t>VÄSTRA GÖTALANDS LÄN</t>
        </is>
      </c>
      <c r="G182" t="inlineStr">
        <is>
          <t>MUNKEDAL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46318</v>
      </c>
      <c r="F183" t="inlineStr">
        <is>
          <t>VÄSTRA GÖTALANDS LÄN</t>
        </is>
      </c>
      <c r="G183" t="inlineStr">
        <is>
          <t>MUNKEDAL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45640</v>
      </c>
      <c r="E184" s="1" t="n">
        <v>46318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46318</v>
      </c>
      <c r="F185" t="inlineStr">
        <is>
          <t>VÄSTRA GÖTALANDS LÄN</t>
        </is>
      </c>
      <c r="G185" t="inlineStr">
        <is>
          <t>MUNKEDAL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46318</v>
      </c>
      <c r="F186" t="inlineStr">
        <is>
          <t>VÄSTRA GÖTALANDS LÄN</t>
        </is>
      </c>
      <c r="G186" t="inlineStr">
        <is>
          <t>MUNKEDAL</t>
        </is>
      </c>
      <c r="I186" t="n">
        <v>16.3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45750</v>
      </c>
      <c r="E187" s="1" t="n">
        <v>46318</v>
      </c>
      <c r="F187" t="inlineStr">
        <is>
          <t>VÄSTRA GÖTALANDS LÄN</t>
        </is>
      </c>
      <c r="G187" t="inlineStr">
        <is>
          <t>MUNKEDAL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45620</v>
      </c>
      <c r="E188" s="1" t="n">
        <v>46318</v>
      </c>
      <c r="F188" t="inlineStr">
        <is>
          <t>VÄSTRA GÖTALANDS LÄN</t>
        </is>
      </c>
      <c r="G188" t="inlineStr">
        <is>
          <t>MUNKEDAL</t>
        </is>
      </c>
      <c r="I188" t="n">
        <v>8.699999999999999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46318</v>
      </c>
      <c r="F189" t="inlineStr">
        <is>
          <t>VÄSTRA GÖTALANDS LÄN</t>
        </is>
      </c>
      <c r="G189" t="inlineStr">
        <is>
          <t>MUNKEDAL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46318</v>
      </c>
      <c r="F190" t="inlineStr">
        <is>
          <t>VÄSTRA GÖTALANDS LÄN</t>
        </is>
      </c>
      <c r="G190" t="inlineStr">
        <is>
          <t>MUNKEDAL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46318</v>
      </c>
      <c r="F191" t="inlineStr">
        <is>
          <t>VÄSTRA GÖTALANDS LÄN</t>
        </is>
      </c>
      <c r="G191" t="inlineStr">
        <is>
          <t>MUNKEDAL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46318</v>
      </c>
      <c r="F192" t="inlineStr">
        <is>
          <t>VÄSTRA GÖTALANDS LÄN</t>
        </is>
      </c>
      <c r="G192" t="inlineStr">
        <is>
          <t>MUNKEDAL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46318</v>
      </c>
      <c r="F193" t="inlineStr">
        <is>
          <t>VÄSTRA GÖTALANDS LÄN</t>
        </is>
      </c>
      <c r="G193" t="inlineStr">
        <is>
          <t>MUNKEDAL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46318</v>
      </c>
      <c r="F194" t="inlineStr">
        <is>
          <t>VÄSTRA GÖTALANDS LÄN</t>
        </is>
      </c>
      <c r="G194" t="inlineStr">
        <is>
          <t>MUNKEDAL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45138</v>
      </c>
      <c r="E195" s="1" t="n">
        <v>46318</v>
      </c>
      <c r="F195" t="inlineStr">
        <is>
          <t>VÄSTRA GÖTALANDS LÄN</t>
        </is>
      </c>
      <c r="G195" t="inlineStr">
        <is>
          <t>MUNKEDAL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46318</v>
      </c>
      <c r="F196" t="inlineStr">
        <is>
          <t>VÄSTRA GÖTALANDS LÄN</t>
        </is>
      </c>
      <c r="G196" t="inlineStr">
        <is>
          <t>MUNKEDAL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46318</v>
      </c>
      <c r="F197" t="inlineStr">
        <is>
          <t>VÄSTRA GÖTALANDS LÄN</t>
        </is>
      </c>
      <c r="G197" t="inlineStr">
        <is>
          <t>MUNKEDAL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67233-2021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44523</v>
      </c>
      <c r="E198" s="1" t="n">
        <v>46318</v>
      </c>
      <c r="F198" t="inlineStr">
        <is>
          <t>VÄSTRA GÖTALANDS LÄN</t>
        </is>
      </c>
      <c r="G198" t="inlineStr">
        <is>
          <t>MUNKEDAL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46318</v>
      </c>
      <c r="F199" t="inlineStr">
        <is>
          <t>VÄSTRA GÖTALANDS LÄN</t>
        </is>
      </c>
      <c r="G199" t="inlineStr">
        <is>
          <t>MUNKEDAL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46318</v>
      </c>
      <c r="F200" t="inlineStr">
        <is>
          <t>VÄSTRA GÖTALANDS LÄN</t>
        </is>
      </c>
      <c r="G200" t="inlineStr">
        <is>
          <t>MUNKEDAL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46318</v>
      </c>
      <c r="F201" t="inlineStr">
        <is>
          <t>VÄSTRA GÖTALANDS LÄN</t>
        </is>
      </c>
      <c r="G201" t="inlineStr">
        <is>
          <t>MUNKEDAL</t>
        </is>
      </c>
      <c r="I201" t="n">
        <v>17.5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46318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46318</v>
      </c>
      <c r="F203" t="inlineStr">
        <is>
          <t>VÄSTRA GÖTALANDS LÄN</t>
        </is>
      </c>
      <c r="G203" t="inlineStr">
        <is>
          <t>MUNKEDAL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46002</v>
      </c>
      <c r="E204" s="1" t="n">
        <v>46318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19.1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45982</v>
      </c>
      <c r="E205" s="1" t="n">
        <v>46318</v>
      </c>
      <c r="F205" t="inlineStr">
        <is>
          <t>VÄSTRA GÖTALANDS LÄN</t>
        </is>
      </c>
      <c r="G205" t="inlineStr">
        <is>
          <t>MUNKEDAL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46318</v>
      </c>
      <c r="F206" t="inlineStr">
        <is>
          <t>VÄSTRA GÖTALANDS LÄN</t>
        </is>
      </c>
      <c r="G206" t="inlineStr">
        <is>
          <t>MUNKEDAL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46318</v>
      </c>
      <c r="F207" t="inlineStr">
        <is>
          <t>VÄSTRA GÖTALANDS LÄN</t>
        </is>
      </c>
      <c r="G207" t="inlineStr">
        <is>
          <t>MUNKEDAL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46318</v>
      </c>
      <c r="F208" t="inlineStr">
        <is>
          <t>VÄSTRA GÖTALANDS LÄN</t>
        </is>
      </c>
      <c r="G208" t="inlineStr">
        <is>
          <t>MUNKEDAL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46318</v>
      </c>
      <c r="F209" t="inlineStr">
        <is>
          <t>VÄSTRA GÖTALANDS LÄN</t>
        </is>
      </c>
      <c r="G209" t="inlineStr">
        <is>
          <t>MUNKEDAL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46318</v>
      </c>
      <c r="F210" t="inlineStr">
        <is>
          <t>VÄSTRA GÖTALANDS LÄN</t>
        </is>
      </c>
      <c r="G210" t="inlineStr">
        <is>
          <t>MUNKEDAL</t>
        </is>
      </c>
      <c r="H210" t="inlineStr">
        <is>
          <t>Övriga statliga verk och myndigheter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46318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11.6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45296</v>
      </c>
      <c r="E212" s="1" t="n">
        <v>46318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Kyrkan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46318</v>
      </c>
      <c r="F213" t="inlineStr">
        <is>
          <t>VÄSTRA GÖTALANDS LÄN</t>
        </is>
      </c>
      <c r="G213" t="inlineStr">
        <is>
          <t>MUNKEDAL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46167</v>
      </c>
      <c r="E214" s="1" t="n">
        <v>46318</v>
      </c>
      <c r="F214" t="inlineStr">
        <is>
          <t>VÄSTRA GÖTALANDS LÄN</t>
        </is>
      </c>
      <c r="G214" t="inlineStr">
        <is>
          <t>MUNKEDAL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46318</v>
      </c>
      <c r="F215" t="inlineStr">
        <is>
          <t>VÄSTRA GÖTALANDS LÄN</t>
        </is>
      </c>
      <c r="G215" t="inlineStr">
        <is>
          <t>MUNKEDAL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46022</v>
      </c>
      <c r="E216" s="1" t="n">
        <v>46318</v>
      </c>
      <c r="F216" t="inlineStr">
        <is>
          <t>VÄSTRA GÖTALANDS LÄN</t>
        </is>
      </c>
      <c r="G216" t="inlineStr">
        <is>
          <t>MUNKEDAL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46022</v>
      </c>
      <c r="E217" s="1" t="n">
        <v>46318</v>
      </c>
      <c r="F217" t="inlineStr">
        <is>
          <t>VÄSTRA GÖTALANDS LÄN</t>
        </is>
      </c>
      <c r="G217" t="inlineStr">
        <is>
          <t>MUNKEDAL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46318</v>
      </c>
      <c r="F218" t="inlineStr">
        <is>
          <t>VÄSTRA GÖTALANDS LÄN</t>
        </is>
      </c>
      <c r="G218" t="inlineStr">
        <is>
          <t>MUNKEDAL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45174</v>
      </c>
      <c r="E219" s="1" t="n">
        <v>46318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Kyrkan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46318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46318</v>
      </c>
      <c r="F221" t="inlineStr">
        <is>
          <t>VÄSTRA GÖTALANDS LÄN</t>
        </is>
      </c>
      <c r="G221" t="inlineStr">
        <is>
          <t>MUNKEDAL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46318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Kyrkan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44861</v>
      </c>
      <c r="E223" s="1" t="n">
        <v>46318</v>
      </c>
      <c r="F223" t="inlineStr">
        <is>
          <t>VÄSTRA GÖTALANDS LÄN</t>
        </is>
      </c>
      <c r="G223" t="inlineStr">
        <is>
          <t>MUNKEDAL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46318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46318</v>
      </c>
      <c r="F225" t="inlineStr">
        <is>
          <t>VÄSTRA GÖTALANDS LÄN</t>
        </is>
      </c>
      <c r="G225" t="inlineStr">
        <is>
          <t>MUNKEDAL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46318</v>
      </c>
      <c r="F226" t="inlineStr">
        <is>
          <t>VÄSTRA GÖTALANDS LÄN</t>
        </is>
      </c>
      <c r="G226" t="inlineStr">
        <is>
          <t>MUNKEDAL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46318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45418</v>
      </c>
      <c r="E228" s="1" t="n">
        <v>46318</v>
      </c>
      <c r="F228" t="inlineStr">
        <is>
          <t>VÄSTRA GÖTALANDS LÄN</t>
        </is>
      </c>
      <c r="G228" t="inlineStr">
        <is>
          <t>MUNKEDAL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44704</v>
      </c>
      <c r="E229" s="1" t="n">
        <v>46318</v>
      </c>
      <c r="F229" t="inlineStr">
        <is>
          <t>VÄSTRA GÖTALANDS LÄN</t>
        </is>
      </c>
      <c r="G229" t="inlineStr">
        <is>
          <t>MUNKEDAL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46318</v>
      </c>
      <c r="F230" t="inlineStr">
        <is>
          <t>VÄSTRA GÖTALANDS LÄN</t>
        </is>
      </c>
      <c r="G230" t="inlineStr">
        <is>
          <t>MUNKEDAL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46318</v>
      </c>
      <c r="F231" t="inlineStr">
        <is>
          <t>VÄSTRA GÖTALANDS LÄN</t>
        </is>
      </c>
      <c r="G231" t="inlineStr">
        <is>
          <t>MUNKEDAL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46318</v>
      </c>
      <c r="F232" t="inlineStr">
        <is>
          <t>VÄSTRA GÖTALANDS LÄN</t>
        </is>
      </c>
      <c r="G232" t="inlineStr">
        <is>
          <t>MUNKEDAL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46318</v>
      </c>
      <c r="F233" t="inlineStr">
        <is>
          <t>VÄSTRA GÖTALANDS LÄN</t>
        </is>
      </c>
      <c r="G233" t="inlineStr">
        <is>
          <t>MUNKEDAL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46318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Kommuner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45293</v>
      </c>
      <c r="E235" s="1" t="n">
        <v>46318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45489</v>
      </c>
      <c r="E236" s="1" t="n">
        <v>46318</v>
      </c>
      <c r="F236" t="inlineStr">
        <is>
          <t>VÄSTRA GÖTALANDS LÄN</t>
        </is>
      </c>
      <c r="G236" t="inlineStr">
        <is>
          <t>MUNKEDAL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46318</v>
      </c>
      <c r="F237" t="inlineStr">
        <is>
          <t>VÄSTRA GÖTALANDS LÄN</t>
        </is>
      </c>
      <c r="G237" t="inlineStr">
        <is>
          <t>MUNKEDAL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46318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46318</v>
      </c>
      <c r="F239" t="inlineStr">
        <is>
          <t>VÄSTRA GÖTALANDS LÄN</t>
        </is>
      </c>
      <c r="G239" t="inlineStr">
        <is>
          <t>MUNKEDAL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46318</v>
      </c>
      <c r="F240" t="inlineStr">
        <is>
          <t>VÄSTRA GÖTALANDS LÄN</t>
        </is>
      </c>
      <c r="G240" t="inlineStr">
        <is>
          <t>MUNKEDAL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46047</v>
      </c>
      <c r="E241" s="1" t="n">
        <v>46318</v>
      </c>
      <c r="F241" t="inlineStr">
        <is>
          <t>VÄSTRA GÖTALANDS LÄN</t>
        </is>
      </c>
      <c r="G241" t="inlineStr">
        <is>
          <t>MUNKEDAL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46318</v>
      </c>
      <c r="F242" t="inlineStr">
        <is>
          <t>VÄSTRA GÖTALANDS LÄN</t>
        </is>
      </c>
      <c r="G242" t="inlineStr">
        <is>
          <t>MUNKEDAL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53255-2024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46318</v>
      </c>
      <c r="F243" t="inlineStr">
        <is>
          <t>VÄSTRA GÖTALANDS LÄN</t>
        </is>
      </c>
      <c r="G243" t="inlineStr">
        <is>
          <t>MUNKEDAL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44812</v>
      </c>
      <c r="E244" s="1" t="n">
        <v>46318</v>
      </c>
      <c r="F244" t="inlineStr">
        <is>
          <t>VÄSTRA GÖTALANDS LÄN</t>
        </is>
      </c>
      <c r="G244" t="inlineStr">
        <is>
          <t>MUNKEDAL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46318</v>
      </c>
      <c r="F245" t="inlineStr">
        <is>
          <t>VÄSTRA GÖTALANDS LÄN</t>
        </is>
      </c>
      <c r="G245" t="inlineStr">
        <is>
          <t>MUNKEDAL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46050</v>
      </c>
      <c r="E246" s="1" t="n">
        <v>46318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Kyrkan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46318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45778</v>
      </c>
      <c r="E248" s="1" t="n">
        <v>46318</v>
      </c>
      <c r="F248" t="inlineStr">
        <is>
          <t>VÄSTRA GÖTALANDS LÄN</t>
        </is>
      </c>
      <c r="G248" t="inlineStr">
        <is>
          <t>MUNKEDAL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46318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46318</v>
      </c>
      <c r="F250" t="inlineStr">
        <is>
          <t>VÄSTRA GÖTALANDS LÄN</t>
        </is>
      </c>
      <c r="G250" t="inlineStr">
        <is>
          <t>MUNKEDAL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44760</v>
      </c>
      <c r="E251" s="1" t="n">
        <v>46318</v>
      </c>
      <c r="F251" t="inlineStr">
        <is>
          <t>VÄSTRA GÖTALANDS LÄN</t>
        </is>
      </c>
      <c r="G251" t="inlineStr">
        <is>
          <t>MUNKEDAL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46318</v>
      </c>
      <c r="F252" t="inlineStr">
        <is>
          <t>VÄSTRA GÖTALANDS LÄN</t>
        </is>
      </c>
      <c r="G252" t="inlineStr">
        <is>
          <t>MUNKEDAL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44630</v>
      </c>
      <c r="E253" s="1" t="n">
        <v>46318</v>
      </c>
      <c r="F253" t="inlineStr">
        <is>
          <t>VÄSTRA GÖTALANDS LÄN</t>
        </is>
      </c>
      <c r="G253" t="inlineStr">
        <is>
          <t>MUNKEDAL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46062</v>
      </c>
      <c r="E254" s="1" t="n">
        <v>46318</v>
      </c>
      <c r="F254" t="inlineStr">
        <is>
          <t>VÄSTRA GÖTALANDS LÄN</t>
        </is>
      </c>
      <c r="G254" t="inlineStr">
        <is>
          <t>MUNKEDAL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46318</v>
      </c>
      <c r="F255" t="inlineStr">
        <is>
          <t>VÄSTRA GÖTALANDS LÄN</t>
        </is>
      </c>
      <c r="G255" t="inlineStr">
        <is>
          <t>MUNKEDAL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46318</v>
      </c>
      <c r="F256" t="inlineStr">
        <is>
          <t>VÄSTRA GÖTALANDS LÄN</t>
        </is>
      </c>
      <c r="G256" t="inlineStr">
        <is>
          <t>MUNKEDAL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46318</v>
      </c>
      <c r="F257" t="inlineStr">
        <is>
          <t>VÄSTRA GÖTALANDS LÄN</t>
        </is>
      </c>
      <c r="G257" t="inlineStr">
        <is>
          <t>MUNKEDAL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46318</v>
      </c>
      <c r="F258" t="inlineStr">
        <is>
          <t>VÄSTRA GÖTALANDS LÄN</t>
        </is>
      </c>
      <c r="G258" t="inlineStr">
        <is>
          <t>MUNKEDAL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46318</v>
      </c>
      <c r="F259" t="inlineStr">
        <is>
          <t>VÄSTRA GÖTALANDS LÄN</t>
        </is>
      </c>
      <c r="G259" t="inlineStr">
        <is>
          <t>MUNKEDAL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46318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46318</v>
      </c>
      <c r="F261" t="inlineStr">
        <is>
          <t>VÄSTRA GÖTALANDS LÄN</t>
        </is>
      </c>
      <c r="G261" t="inlineStr">
        <is>
          <t>MUNKEDAL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46318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46318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46318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Naturvårdsverket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45076</v>
      </c>
      <c r="E265" s="1" t="n">
        <v>46318</v>
      </c>
      <c r="F265" t="inlineStr">
        <is>
          <t>VÄSTRA GÖTALANDS LÄN</t>
        </is>
      </c>
      <c r="G265" t="inlineStr">
        <is>
          <t>MUNKEDAL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45029</v>
      </c>
      <c r="E266" s="1" t="n">
        <v>46318</v>
      </c>
      <c r="F266" t="inlineStr">
        <is>
          <t>VÄSTRA GÖTALANDS LÄN</t>
        </is>
      </c>
      <c r="G266" t="inlineStr">
        <is>
          <t>MUNKEDAL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46318</v>
      </c>
      <c r="F267" t="inlineStr">
        <is>
          <t>VÄSTRA GÖTALANDS LÄN</t>
        </is>
      </c>
      <c r="G267" t="inlineStr">
        <is>
          <t>MUNKEDAL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45408</v>
      </c>
      <c r="E268" s="1" t="n">
        <v>46318</v>
      </c>
      <c r="F268" t="inlineStr">
        <is>
          <t>VÄSTRA GÖTALANDS LÄN</t>
        </is>
      </c>
      <c r="G268" t="inlineStr">
        <is>
          <t>MUNKEDAL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46318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26.5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45740</v>
      </c>
      <c r="E270" s="1" t="n">
        <v>46318</v>
      </c>
      <c r="F270" t="inlineStr">
        <is>
          <t>VÄSTRA GÖTALANDS LÄN</t>
        </is>
      </c>
      <c r="G270" t="inlineStr">
        <is>
          <t>MUNKEDAL</t>
        </is>
      </c>
      <c r="I270" t="n">
        <v>12.7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46318</v>
      </c>
      <c r="F271" t="inlineStr">
        <is>
          <t>VÄSTRA GÖTALANDS LÄN</t>
        </is>
      </c>
      <c r="G271" t="inlineStr">
        <is>
          <t>MUNKEDAL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46078</v>
      </c>
      <c r="E272" s="1" t="n">
        <v>46318</v>
      </c>
      <c r="F272" t="inlineStr">
        <is>
          <t>VÄSTRA GÖTALANDS LÄN</t>
        </is>
      </c>
      <c r="G272" t="inlineStr">
        <is>
          <t>MUNKEDAL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46318</v>
      </c>
      <c r="F273" t="inlineStr">
        <is>
          <t>VÄSTRA GÖTALANDS LÄN</t>
        </is>
      </c>
      <c r="G273" t="inlineStr">
        <is>
          <t>MUNKEDAL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46318</v>
      </c>
      <c r="F274" t="inlineStr">
        <is>
          <t>VÄSTRA GÖTALANDS LÄN</t>
        </is>
      </c>
      <c r="G274" t="inlineStr">
        <is>
          <t>MUNKEDAL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45618</v>
      </c>
      <c r="E275" s="1" t="n">
        <v>46318</v>
      </c>
      <c r="F275" t="inlineStr">
        <is>
          <t>VÄSTRA GÖTALANDS LÄN</t>
        </is>
      </c>
      <c r="G275" t="inlineStr">
        <is>
          <t>MUNKEDAL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45797</v>
      </c>
      <c r="E276" s="1" t="n">
        <v>46318</v>
      </c>
      <c r="F276" t="inlineStr">
        <is>
          <t>VÄSTRA GÖTALANDS LÄN</t>
        </is>
      </c>
      <c r="G276" t="inlineStr">
        <is>
          <t>MUNKEDAL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45797</v>
      </c>
      <c r="E277" s="1" t="n">
        <v>46318</v>
      </c>
      <c r="F277" t="inlineStr">
        <is>
          <t>VÄSTRA GÖTALANDS LÄN</t>
        </is>
      </c>
      <c r="G277" t="inlineStr">
        <is>
          <t>MUNKEDAL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45696</v>
      </c>
      <c r="E278" s="1" t="n">
        <v>46318</v>
      </c>
      <c r="F278" t="inlineStr">
        <is>
          <t>VÄSTRA GÖTALANDS LÄN</t>
        </is>
      </c>
      <c r="G278" t="inlineStr">
        <is>
          <t>MUNKEDAL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47758-2024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45588</v>
      </c>
      <c r="E279" s="1" t="n">
        <v>46318</v>
      </c>
      <c r="F279" t="inlineStr">
        <is>
          <t>VÄSTRA GÖTALANDS LÄN</t>
        </is>
      </c>
      <c r="G279" t="inlineStr">
        <is>
          <t>MUNKEDAL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46318</v>
      </c>
      <c r="F280" t="inlineStr">
        <is>
          <t>VÄSTRA GÖTALANDS LÄN</t>
        </is>
      </c>
      <c r="G280" t="inlineStr">
        <is>
          <t>MUNKEDAL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46318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Kyrkan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46318</v>
      </c>
      <c r="F282" t="inlineStr">
        <is>
          <t>VÄSTRA GÖTALANDS LÄN</t>
        </is>
      </c>
      <c r="G282" t="inlineStr">
        <is>
          <t>MUNKEDAL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46091</v>
      </c>
      <c r="E283" s="1" t="n">
        <v>46318</v>
      </c>
      <c r="F283" t="inlineStr">
        <is>
          <t>VÄSTRA GÖTALANDS LÄN</t>
        </is>
      </c>
      <c r="G283" t="inlineStr">
        <is>
          <t>MUNKEDAL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46318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25.2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46272</v>
      </c>
      <c r="E285" s="1" t="n">
        <v>46318</v>
      </c>
      <c r="F285" t="inlineStr">
        <is>
          <t>VÄSTRA GÖTALANDS LÄN</t>
        </is>
      </c>
      <c r="G285" t="inlineStr">
        <is>
          <t>MUNKEDAL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46318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46318</v>
      </c>
      <c r="F287" t="inlineStr">
        <is>
          <t>VÄSTRA GÖTALANDS LÄN</t>
        </is>
      </c>
      <c r="G287" t="inlineStr">
        <is>
          <t>MUNKEDAL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46318</v>
      </c>
      <c r="F288" t="inlineStr">
        <is>
          <t>VÄSTRA GÖTALANDS LÄN</t>
        </is>
      </c>
      <c r="G288" t="inlineStr">
        <is>
          <t>MUNKEDAL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46203</v>
      </c>
      <c r="E289" s="1" t="n">
        <v>46318</v>
      </c>
      <c r="F289" t="inlineStr">
        <is>
          <t>VÄSTRA GÖTALANDS LÄN</t>
        </is>
      </c>
      <c r="G289" t="inlineStr">
        <is>
          <t>MUNKEDAL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46318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46318</v>
      </c>
      <c r="F291" t="inlineStr">
        <is>
          <t>VÄSTRA GÖTALANDS LÄN</t>
        </is>
      </c>
      <c r="G291" t="inlineStr">
        <is>
          <t>MUNKEDAL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46318</v>
      </c>
      <c r="F292" t="inlineStr">
        <is>
          <t>VÄSTRA GÖTALANDS LÄN</t>
        </is>
      </c>
      <c r="G292" t="inlineStr">
        <is>
          <t>MUNKEDAL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46318</v>
      </c>
      <c r="F293" t="inlineStr">
        <is>
          <t>VÄSTRA GÖTALANDS LÄN</t>
        </is>
      </c>
      <c r="G293" t="inlineStr">
        <is>
          <t>MUNKEDAL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46318</v>
      </c>
      <c r="F294" t="inlineStr">
        <is>
          <t>VÄSTRA GÖTALANDS LÄN</t>
        </is>
      </c>
      <c r="G294" t="inlineStr">
        <is>
          <t>MUNKEDAL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46318</v>
      </c>
      <c r="F295" t="inlineStr">
        <is>
          <t>VÄSTRA GÖTALANDS LÄN</t>
        </is>
      </c>
      <c r="G295" t="inlineStr">
        <is>
          <t>MUNKEDAL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46318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16.7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46318</v>
      </c>
      <c r="F297" t="inlineStr">
        <is>
          <t>VÄSTRA GÖTALANDS LÄN</t>
        </is>
      </c>
      <c r="G297" t="inlineStr">
        <is>
          <t>MUNKEDAL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46209</v>
      </c>
      <c r="E298" s="1" t="n">
        <v>46318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46318</v>
      </c>
      <c r="F299" t="inlineStr">
        <is>
          <t>VÄSTRA GÖTALANDS LÄN</t>
        </is>
      </c>
      <c r="G299" t="inlineStr">
        <is>
          <t>MUNKEDAL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46209</v>
      </c>
      <c r="E300" s="1" t="n">
        <v>46318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46318</v>
      </c>
      <c r="F301" t="inlineStr">
        <is>
          <t>VÄSTRA GÖTALANDS LÄN</t>
        </is>
      </c>
      <c r="G301" t="inlineStr">
        <is>
          <t>MUNKEDAL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46318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46273</v>
      </c>
      <c r="E303" s="1" t="n">
        <v>46318</v>
      </c>
      <c r="F303" t="inlineStr">
        <is>
          <t>VÄSTRA GÖTALANDS LÄN</t>
        </is>
      </c>
      <c r="G303" t="inlineStr">
        <is>
          <t>MUNKEDAL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46318</v>
      </c>
      <c r="F304" t="inlineStr">
        <is>
          <t>VÄSTRA GÖTALANDS LÄN</t>
        </is>
      </c>
      <c r="G304" t="inlineStr">
        <is>
          <t>MUNKEDAL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16631-2022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44672</v>
      </c>
      <c r="E305" s="1" t="n">
        <v>46318</v>
      </c>
      <c r="F305" t="inlineStr">
        <is>
          <t>VÄSTRA GÖTALANDS LÄN</t>
        </is>
      </c>
      <c r="G305" t="inlineStr">
        <is>
          <t>MUNKEDAL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19173-2026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46318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44946</v>
      </c>
      <c r="E307" s="1" t="n">
        <v>46318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46318</v>
      </c>
      <c r="F308" t="inlineStr">
        <is>
          <t>VÄSTRA GÖTALANDS LÄN</t>
        </is>
      </c>
      <c r="G308" t="inlineStr">
        <is>
          <t>MUNKEDAL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19022-2026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46131</v>
      </c>
      <c r="E309" s="1" t="n">
        <v>46318</v>
      </c>
      <c r="F309" t="inlineStr">
        <is>
          <t>VÄSTRA GÖTALANDS LÄN</t>
        </is>
      </c>
      <c r="G309" t="inlineStr">
        <is>
          <t>MUNKEDAL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46134</v>
      </c>
      <c r="E310" s="1" t="n">
        <v>46318</v>
      </c>
      <c r="F310" t="inlineStr">
        <is>
          <t>VÄSTRA GÖTALANDS LÄN</t>
        </is>
      </c>
      <c r="G310" t="inlineStr">
        <is>
          <t>MUNKEDAL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46217</v>
      </c>
      <c r="E311" s="1" t="n">
        <v>46318</v>
      </c>
      <c r="F311" t="inlineStr">
        <is>
          <t>VÄSTRA GÖTALANDS LÄN</t>
        </is>
      </c>
      <c r="G311" t="inlineStr">
        <is>
          <t>MUNKEDAL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45582</v>
      </c>
      <c r="E312" s="1" t="n">
        <v>46318</v>
      </c>
      <c r="F312" t="inlineStr">
        <is>
          <t>VÄSTRA GÖTALANDS LÄN</t>
        </is>
      </c>
      <c r="G312" t="inlineStr">
        <is>
          <t>MUNKEDAL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46217</v>
      </c>
      <c r="E313" s="1" t="n">
        <v>46318</v>
      </c>
      <c r="F313" t="inlineStr">
        <is>
          <t>VÄSTRA GÖTALANDS LÄN</t>
        </is>
      </c>
      <c r="G313" t="inlineStr">
        <is>
          <t>MUNKEDAL</t>
        </is>
      </c>
      <c r="I313" t="n">
        <v>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44698</v>
      </c>
      <c r="E314" s="1" t="n">
        <v>46318</v>
      </c>
      <c r="F314" t="inlineStr">
        <is>
          <t>VÄSTRA GÖTALANDS LÄN</t>
        </is>
      </c>
      <c r="G314" t="inlineStr">
        <is>
          <t>MUNKEDAL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46318</v>
      </c>
      <c r="F315" t="inlineStr">
        <is>
          <t>VÄSTRA GÖTALANDS LÄN</t>
        </is>
      </c>
      <c r="G315" t="inlineStr">
        <is>
          <t>MUNKEDAL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44897</v>
      </c>
      <c r="E316" s="1" t="n">
        <v>46318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Kyrkan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46318</v>
      </c>
      <c r="F317" t="inlineStr">
        <is>
          <t>VÄSTRA GÖTALANDS LÄN</t>
        </is>
      </c>
      <c r="G317" t="inlineStr">
        <is>
          <t>MUNKEDAL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46318</v>
      </c>
      <c r="F318" t="inlineStr">
        <is>
          <t>VÄSTRA GÖTALANDS LÄN</t>
        </is>
      </c>
      <c r="G318" t="inlineStr">
        <is>
          <t>MUNKEDAL</t>
        </is>
      </c>
      <c r="I318" t="n">
        <v>25.2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44993</v>
      </c>
      <c r="E319" s="1" t="n">
        <v>46318</v>
      </c>
      <c r="F319" t="inlineStr">
        <is>
          <t>VÄSTRA GÖTALANDS LÄN</t>
        </is>
      </c>
      <c r="G319" t="inlineStr">
        <is>
          <t>MUNKEDAL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19361-2023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46318</v>
      </c>
      <c r="F320" t="inlineStr">
        <is>
          <t>VÄSTRA GÖTALANDS LÄN</t>
        </is>
      </c>
      <c r="G320" t="inlineStr">
        <is>
          <t>MUNKEDAL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44937</v>
      </c>
      <c r="E321" s="1" t="n">
        <v>46318</v>
      </c>
      <c r="F321" t="inlineStr">
        <is>
          <t>VÄSTRA GÖTALANDS LÄN</t>
        </is>
      </c>
      <c r="G321" t="inlineStr">
        <is>
          <t>MUNKEDAL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46239</v>
      </c>
      <c r="E322" s="1" t="n">
        <v>46318</v>
      </c>
      <c r="F322" t="inlineStr">
        <is>
          <t>VÄSTRA GÖTALANDS LÄN</t>
        </is>
      </c>
      <c r="G322" t="inlineStr">
        <is>
          <t>MUNKEDAL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46318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46318</v>
      </c>
      <c r="F324" t="inlineStr">
        <is>
          <t>VÄSTRA GÖTALANDS LÄN</t>
        </is>
      </c>
      <c r="G324" t="inlineStr">
        <is>
          <t>MUNKEDAL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46286</v>
      </c>
      <c r="E325" s="1" t="n">
        <v>46318</v>
      </c>
      <c r="F325" t="inlineStr">
        <is>
          <t>VÄSTRA GÖTALANDS LÄN</t>
        </is>
      </c>
      <c r="G325" t="inlineStr">
        <is>
          <t>MUNKEDAL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45619</v>
      </c>
      <c r="E326" s="1" t="n">
        <v>46318</v>
      </c>
      <c r="F326" t="inlineStr">
        <is>
          <t>VÄSTRA GÖTALANDS LÄN</t>
        </is>
      </c>
      <c r="G326" t="inlineStr">
        <is>
          <t>MUNKEDAL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46318</v>
      </c>
      <c r="F327" t="inlineStr">
        <is>
          <t>VÄSTRA GÖTALANDS LÄN</t>
        </is>
      </c>
      <c r="G327" t="inlineStr">
        <is>
          <t>MUNKEDAL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46276</v>
      </c>
      <c r="E328" s="1" t="n">
        <v>46318</v>
      </c>
      <c r="F328" t="inlineStr">
        <is>
          <t>VÄSTRA GÖTALANDS LÄN</t>
        </is>
      </c>
      <c r="G328" t="inlineStr">
        <is>
          <t>MUNKEDAL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46318</v>
      </c>
      <c r="F329" t="inlineStr">
        <is>
          <t>VÄSTRA GÖTALANDS LÄN</t>
        </is>
      </c>
      <c r="G329" t="inlineStr">
        <is>
          <t>MUNKEDAL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46318</v>
      </c>
      <c r="F330" t="inlineStr">
        <is>
          <t>VÄSTRA GÖTALANDS LÄN</t>
        </is>
      </c>
      <c r="G330" t="inlineStr">
        <is>
          <t>MUNKEDAL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46286</v>
      </c>
      <c r="E331" s="1" t="n">
        <v>46318</v>
      </c>
      <c r="F331" t="inlineStr">
        <is>
          <t>VÄSTRA GÖTALANDS LÄN</t>
        </is>
      </c>
      <c r="G331" t="inlineStr">
        <is>
          <t>MUNKEDAL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46318</v>
      </c>
      <c r="F332" t="inlineStr">
        <is>
          <t>VÄSTRA GÖTALANDS LÄN</t>
        </is>
      </c>
      <c r="G332" t="inlineStr">
        <is>
          <t>MUNKEDAL</t>
        </is>
      </c>
      <c r="I332" t="n">
        <v>14.1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46318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45293</v>
      </c>
      <c r="E334" s="1" t="n">
        <v>46318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45063</v>
      </c>
      <c r="E335" s="1" t="n">
        <v>46318</v>
      </c>
      <c r="F335" t="inlineStr">
        <is>
          <t>VÄSTRA GÖTALANDS LÄN</t>
        </is>
      </c>
      <c r="G335" t="inlineStr">
        <is>
          <t>MUNKEDAL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46318</v>
      </c>
      <c r="F336" t="inlineStr">
        <is>
          <t>VÄSTRA GÖTALANDS LÄN</t>
        </is>
      </c>
      <c r="G336" t="inlineStr">
        <is>
          <t>MUNKEDAL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45148</v>
      </c>
      <c r="E337" s="1" t="n">
        <v>46318</v>
      </c>
      <c r="F337" t="inlineStr">
        <is>
          <t>VÄSTRA GÖTALANDS LÄN</t>
        </is>
      </c>
      <c r="G337" t="inlineStr">
        <is>
          <t>MUNKEDAL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46318</v>
      </c>
      <c r="F338" t="inlineStr">
        <is>
          <t>VÄSTRA GÖTALANDS LÄN</t>
        </is>
      </c>
      <c r="G338" t="inlineStr">
        <is>
          <t>MUNKEDAL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46247</v>
      </c>
      <c r="E339" s="1" t="n">
        <v>46318</v>
      </c>
      <c r="F339" t="inlineStr">
        <is>
          <t>VÄSTRA GÖTALANDS LÄN</t>
        </is>
      </c>
      <c r="G339" t="inlineStr">
        <is>
          <t>MUNKEDAL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22857-2022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44715</v>
      </c>
      <c r="E340" s="1" t="n">
        <v>46318</v>
      </c>
      <c r="F340" t="inlineStr">
        <is>
          <t>VÄSTRA GÖTALANDS LÄN</t>
        </is>
      </c>
      <c r="G340" t="inlineStr">
        <is>
          <t>MUNKEDAL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46318</v>
      </c>
      <c r="F341" t="inlineStr">
        <is>
          <t>VÄSTRA GÖTALANDS LÄN</t>
        </is>
      </c>
      <c r="G341" t="inlineStr">
        <is>
          <t>MUNKEDAL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46247</v>
      </c>
      <c r="E342" s="1" t="n">
        <v>46318</v>
      </c>
      <c r="F342" t="inlineStr">
        <is>
          <t>VÄSTRA GÖTALANDS LÄN</t>
        </is>
      </c>
      <c r="G342" t="inlineStr">
        <is>
          <t>MUNKEDAL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34288-2026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46253</v>
      </c>
      <c r="E343" s="1" t="n">
        <v>46318</v>
      </c>
      <c r="F343" t="inlineStr">
        <is>
          <t>VÄSTRA GÖTALANDS LÄN</t>
        </is>
      </c>
      <c r="G343" t="inlineStr">
        <is>
          <t>MUNKEDAL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46318</v>
      </c>
      <c r="F344" t="inlineStr">
        <is>
          <t>VÄSTRA GÖTALANDS LÄN</t>
        </is>
      </c>
      <c r="G344" t="inlineStr">
        <is>
          <t>MUNKEDAL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50038-2023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46318</v>
      </c>
      <c r="F345" t="inlineStr">
        <is>
          <t>VÄSTRA GÖTALANDS LÄN</t>
        </is>
      </c>
      <c r="G345" t="inlineStr">
        <is>
          <t>MUNKEDAL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46294</v>
      </c>
      <c r="E346" s="1" t="n">
        <v>46318</v>
      </c>
      <c r="F346" t="inlineStr">
        <is>
          <t>VÄSTRA GÖTALANDS LÄN</t>
        </is>
      </c>
      <c r="G346" t="inlineStr">
        <is>
          <t>MUNKEDAL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46318</v>
      </c>
      <c r="F347" t="inlineStr">
        <is>
          <t>VÄSTRA GÖTALANDS LÄN</t>
        </is>
      </c>
      <c r="G347" t="inlineStr">
        <is>
          <t>MUNKEDAL</t>
        </is>
      </c>
      <c r="I347" t="n">
        <v>11.6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45636</v>
      </c>
      <c r="E348" s="1" t="n">
        <v>46318</v>
      </c>
      <c r="F348" t="inlineStr">
        <is>
          <t>VÄSTRA GÖTALANDS LÄN</t>
        </is>
      </c>
      <c r="G348" t="inlineStr">
        <is>
          <t>MUNKEDAL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46318</v>
      </c>
      <c r="F349" t="inlineStr">
        <is>
          <t>VÄSTRA GÖTALANDS LÄN</t>
        </is>
      </c>
      <c r="G349" t="inlineStr">
        <is>
          <t>MUNKEDAL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46318</v>
      </c>
      <c r="F350" t="inlineStr">
        <is>
          <t>VÄSTRA GÖTALANDS LÄN</t>
        </is>
      </c>
      <c r="G350" t="inlineStr">
        <is>
          <t>MUNKEDAL</t>
        </is>
      </c>
      <c r="I350" t="n">
        <v>11.6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46318</v>
      </c>
      <c r="F351" t="inlineStr">
        <is>
          <t>VÄSTRA GÖTALANDS LÄN</t>
        </is>
      </c>
      <c r="G351" t="inlineStr">
        <is>
          <t>MUNKEDAL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46318</v>
      </c>
      <c r="F352" t="inlineStr">
        <is>
          <t>VÄSTRA GÖTALANDS LÄN</t>
        </is>
      </c>
      <c r="G352" t="inlineStr">
        <is>
          <t>MUNKEDAL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40789-2026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46318</v>
      </c>
      <c r="F353" t="inlineStr">
        <is>
          <t>VÄSTRA GÖTALANDS LÄN</t>
        </is>
      </c>
      <c r="G353" t="inlineStr">
        <is>
          <t>MUNKEDAL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28995-2022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44749</v>
      </c>
      <c r="E354" s="1" t="n">
        <v>46318</v>
      </c>
      <c r="F354" t="inlineStr">
        <is>
          <t>VÄSTRA GÖTALANDS LÄN</t>
        </is>
      </c>
      <c r="G354" t="inlineStr">
        <is>
          <t>MUNKEDAL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46253</v>
      </c>
      <c r="E355" s="1" t="n">
        <v>46318</v>
      </c>
      <c r="F355" t="inlineStr">
        <is>
          <t>VÄSTRA GÖTALANDS LÄN</t>
        </is>
      </c>
      <c r="G355" t="inlineStr">
        <is>
          <t>MUNKEDAL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46318</v>
      </c>
      <c r="F356" t="inlineStr">
        <is>
          <t>VÄSTRA GÖTALANDS LÄN</t>
        </is>
      </c>
      <c r="G356" t="inlineStr">
        <is>
          <t>MUNKEDAL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49912-2023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45214</v>
      </c>
      <c r="E357" s="1" t="n">
        <v>46318</v>
      </c>
      <c r="F357" t="inlineStr">
        <is>
          <t>VÄSTRA GÖTALANDS LÄN</t>
        </is>
      </c>
      <c r="G357" t="inlineStr">
        <is>
          <t>MUNKEDAL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46294</v>
      </c>
      <c r="E358" s="1" t="n">
        <v>46318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45575</v>
      </c>
      <c r="E359" s="1" t="n">
        <v>46318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Naturvårdsverket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45488</v>
      </c>
      <c r="E360" s="1" t="n">
        <v>46318</v>
      </c>
      <c r="F360" t="inlineStr">
        <is>
          <t>VÄSTRA GÖTALANDS LÄN</t>
        </is>
      </c>
      <c r="G360" t="inlineStr">
        <is>
          <t>MUNKEDAL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54001-2023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45231</v>
      </c>
      <c r="E361" s="1" t="n">
        <v>46318</v>
      </c>
      <c r="F361" t="inlineStr">
        <is>
          <t>VÄSTRA GÖTALANDS LÄN</t>
        </is>
      </c>
      <c r="G361" t="inlineStr">
        <is>
          <t>MUNKEDAL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28667-2022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44748</v>
      </c>
      <c r="E362" s="1" t="n">
        <v>46318</v>
      </c>
      <c r="F362" t="inlineStr">
        <is>
          <t>VÄSTRA GÖTALANDS LÄN</t>
        </is>
      </c>
      <c r="G362" t="inlineStr">
        <is>
          <t>MUNKEDAL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18159-2025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45761</v>
      </c>
      <c r="E363" s="1" t="n">
        <v>46318</v>
      </c>
      <c r="F363" t="inlineStr">
        <is>
          <t>VÄSTRA GÖTALANDS LÄN</t>
        </is>
      </c>
      <c r="G363" t="inlineStr">
        <is>
          <t>MUNKEDAL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9720-2024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46318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31350-2022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44774</v>
      </c>
      <c r="E365" s="1" t="n">
        <v>46318</v>
      </c>
      <c r="F365" t="inlineStr">
        <is>
          <t>VÄSTRA GÖTALANDS LÄN</t>
        </is>
      </c>
      <c r="G365" t="inlineStr">
        <is>
          <t>MUNKEDAL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44920</v>
      </c>
      <c r="E366" s="1" t="n">
        <v>46318</v>
      </c>
      <c r="F366" t="inlineStr">
        <is>
          <t>VÄSTRA GÖTALANDS LÄN</t>
        </is>
      </c>
      <c r="G366" t="inlineStr">
        <is>
          <t>MUNKEDAL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44920</v>
      </c>
      <c r="E367" s="1" t="n">
        <v>46318</v>
      </c>
      <c r="F367" t="inlineStr">
        <is>
          <t>VÄSTRA GÖTALANDS LÄN</t>
        </is>
      </c>
      <c r="G367" t="inlineStr">
        <is>
          <t>MUNKEDAL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44984</v>
      </c>
      <c r="E368" s="1" t="n">
        <v>46318</v>
      </c>
      <c r="F368" t="inlineStr">
        <is>
          <t>VÄSTRA GÖTALANDS LÄN</t>
        </is>
      </c>
      <c r="G368" t="inlineStr">
        <is>
          <t>MUNKEDAL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45002</v>
      </c>
      <c r="E369" s="1" t="n">
        <v>46318</v>
      </c>
      <c r="F369" t="inlineStr">
        <is>
          <t>VÄSTRA GÖTALANDS LÄN</t>
        </is>
      </c>
      <c r="G369" t="inlineStr">
        <is>
          <t>MUNKEDAL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45189</v>
      </c>
      <c r="E370" s="1" t="n">
        <v>46318</v>
      </c>
      <c r="F370" t="inlineStr">
        <is>
          <t>VÄSTRA GÖTALANDS LÄN</t>
        </is>
      </c>
      <c r="G370" t="inlineStr">
        <is>
          <t>MUNKEDAL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46318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45296</v>
      </c>
      <c r="E372" s="1" t="n">
        <v>46318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Kyrkan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44866</v>
      </c>
      <c r="E373" s="1" t="n">
        <v>46318</v>
      </c>
      <c r="F373" t="inlineStr">
        <is>
          <t>VÄSTRA GÖTALANDS LÄN</t>
        </is>
      </c>
      <c r="G373" t="inlineStr">
        <is>
          <t>MUNKEDAL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44606</v>
      </c>
      <c r="E374" s="1" t="n">
        <v>46318</v>
      </c>
      <c r="F374" t="inlineStr">
        <is>
          <t>VÄSTRA GÖTALANDS LÄN</t>
        </is>
      </c>
      <c r="G374" t="inlineStr">
        <is>
          <t>MUNKEDAL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13303-2023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45005</v>
      </c>
      <c r="E375" s="1" t="n">
        <v>46318</v>
      </c>
      <c r="F375" t="inlineStr">
        <is>
          <t>VÄSTRA GÖTALANDS LÄN</t>
        </is>
      </c>
      <c r="G375" t="inlineStr">
        <is>
          <t>MUNKEDAL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41716-2024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46318</v>
      </c>
      <c r="F376" t="inlineStr">
        <is>
          <t>VÄSTRA GÖTALANDS LÄN</t>
        </is>
      </c>
      <c r="G376" t="inlineStr">
        <is>
          <t>MUNKEDAL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44897</v>
      </c>
      <c r="E377" s="1" t="n">
        <v>46318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Kyrkan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46318</v>
      </c>
      <c r="F378" t="inlineStr">
        <is>
          <t>VÄSTRA GÖTALANDS LÄN</t>
        </is>
      </c>
      <c r="G378" t="inlineStr">
        <is>
          <t>MUNKEDAL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41957-2026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46303</v>
      </c>
      <c r="E379" s="1" t="n">
        <v>46318</v>
      </c>
      <c r="F379" t="inlineStr">
        <is>
          <t>VÄSTRA GÖTALANDS LÄN</t>
        </is>
      </c>
      <c r="G379" t="inlineStr">
        <is>
          <t>MUNKEDAL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46303</v>
      </c>
      <c r="E380" s="1" t="n">
        <v>46318</v>
      </c>
      <c r="F380" t="inlineStr">
        <is>
          <t>VÄSTRA GÖTALANDS LÄN</t>
        </is>
      </c>
      <c r="G380" t="inlineStr">
        <is>
          <t>MUNKEDAL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60230-2024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45640</v>
      </c>
      <c r="E381" s="1" t="n">
        <v>46318</v>
      </c>
      <c r="F381" t="inlineStr">
        <is>
          <t>VÄSTRA GÖTALANDS LÄN</t>
        </is>
      </c>
      <c r="G381" t="inlineStr">
        <is>
          <t>MUNKEDAL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46318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45582</v>
      </c>
      <c r="E383" s="1" t="n">
        <v>46318</v>
      </c>
      <c r="F383" t="inlineStr">
        <is>
          <t>VÄSTRA GÖTALANDS LÄN</t>
        </is>
      </c>
      <c r="G383" t="inlineStr">
        <is>
          <t>MUNKEDAL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45674</v>
      </c>
      <c r="E384" s="1" t="n">
        <v>46318</v>
      </c>
      <c r="F384" t="inlineStr">
        <is>
          <t>VÄSTRA GÖTALANDS LÄN</t>
        </is>
      </c>
      <c r="G384" t="inlineStr">
        <is>
          <t>MUNKEDAL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46302</v>
      </c>
      <c r="E385" s="1" t="n">
        <v>46318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44958</v>
      </c>
      <c r="E386" s="1" t="n">
        <v>46318</v>
      </c>
      <c r="F386" t="inlineStr">
        <is>
          <t>VÄSTRA GÖTALANDS LÄN</t>
        </is>
      </c>
      <c r="G386" t="inlineStr">
        <is>
          <t>MUNKEDAL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45313</v>
      </c>
      <c r="E387" s="1" t="n">
        <v>46318</v>
      </c>
      <c r="F387" t="inlineStr">
        <is>
          <t>VÄSTRA GÖTALANDS LÄN</t>
        </is>
      </c>
      <c r="G387" t="inlineStr">
        <is>
          <t>MUNKEDAL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45175</v>
      </c>
      <c r="E388" s="1" t="n">
        <v>46318</v>
      </c>
      <c r="F388" t="inlineStr">
        <is>
          <t>VÄSTRA GÖTALANDS LÄN</t>
        </is>
      </c>
      <c r="G388" t="inlineStr">
        <is>
          <t>MUNKEDAL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45640</v>
      </c>
      <c r="E389" s="1" t="n">
        <v>46318</v>
      </c>
      <c r="F389" t="inlineStr">
        <is>
          <t>VÄSTRA GÖTALANDS LÄN</t>
        </is>
      </c>
      <c r="G389" t="inlineStr">
        <is>
          <t>MUNKEDAL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45664</v>
      </c>
      <c r="E390" s="1" t="n">
        <v>46318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18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45296</v>
      </c>
      <c r="E391" s="1" t="n">
        <v>46318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Kyrkan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46318</v>
      </c>
      <c r="F392" t="inlineStr">
        <is>
          <t>VÄSTRA GÖTALANDS LÄN</t>
        </is>
      </c>
      <c r="G392" t="inlineStr">
        <is>
          <t>MUNKEDAL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44960</v>
      </c>
      <c r="E393" s="1" t="n">
        <v>46318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44755</v>
      </c>
      <c r="E394" s="1" t="n">
        <v>46318</v>
      </c>
      <c r="F394" t="inlineStr">
        <is>
          <t>VÄSTRA GÖTALANDS LÄN</t>
        </is>
      </c>
      <c r="G394" t="inlineStr">
        <is>
          <t>MUNKEDAL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46308</v>
      </c>
      <c r="E395" s="1" t="n">
        <v>46318</v>
      </c>
      <c r="F395" t="inlineStr">
        <is>
          <t>VÄSTRA GÖTALANDS LÄN</t>
        </is>
      </c>
      <c r="G395" t="inlineStr">
        <is>
          <t>MUNKEDAL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46308</v>
      </c>
      <c r="E396" s="1" t="n">
        <v>46318</v>
      </c>
      <c r="F396" t="inlineStr">
        <is>
          <t>VÄSTRA GÖTALANDS LÄN</t>
        </is>
      </c>
      <c r="G396" t="inlineStr">
        <is>
          <t>MUNKEDAL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45325</v>
      </c>
      <c r="E397" s="1" t="n">
        <v>46318</v>
      </c>
      <c r="F397" t="inlineStr">
        <is>
          <t>VÄSTRA GÖTALANDS LÄN</t>
        </is>
      </c>
      <c r="G397" t="inlineStr">
        <is>
          <t>MUNKEDAL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35645-2023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45147</v>
      </c>
      <c r="E398" s="1" t="n">
        <v>46318</v>
      </c>
      <c r="F398" t="inlineStr">
        <is>
          <t>VÄSTRA GÖTALANDS LÄN</t>
        </is>
      </c>
      <c r="G398" t="inlineStr">
        <is>
          <t>MUNKEDAL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46318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43129-2026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46311</v>
      </c>
      <c r="E400" s="1" t="n">
        <v>46318</v>
      </c>
      <c r="F400" t="inlineStr">
        <is>
          <t>VÄSTRA GÖTALANDS LÄN</t>
        </is>
      </c>
      <c r="G400" t="inlineStr">
        <is>
          <t>MUNKEDAL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54933-2024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45618</v>
      </c>
      <c r="E401" s="1" t="n">
        <v>46318</v>
      </c>
      <c r="F401" t="inlineStr">
        <is>
          <t>VÄSTRA GÖTALANDS LÄN</t>
        </is>
      </c>
      <c r="G401" t="inlineStr">
        <is>
          <t>MUNKEDAL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46267</v>
      </c>
      <c r="E402" s="1" t="n">
        <v>46318</v>
      </c>
      <c r="F402" t="inlineStr">
        <is>
          <t>VÄSTRA GÖTALANDS LÄN</t>
        </is>
      </c>
      <c r="G402" t="inlineStr">
        <is>
          <t>MUNKEDAL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18278-2025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45762</v>
      </c>
      <c r="E403" s="1" t="n">
        <v>46318</v>
      </c>
      <c r="F403" t="inlineStr">
        <is>
          <t>VÄSTRA GÖTALANDS LÄN</t>
        </is>
      </c>
      <c r="G403" t="inlineStr">
        <is>
          <t>MUNKEDAL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46318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45160</v>
      </c>
      <c r="E405" s="1" t="n">
        <v>46318</v>
      </c>
      <c r="F405" t="inlineStr">
        <is>
          <t>VÄSTRA GÖTALANDS LÄN</t>
        </is>
      </c>
      <c r="G405" t="inlineStr">
        <is>
          <t>MUNKEDAL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53514-2024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46318</v>
      </c>
      <c r="F406" t="inlineStr">
        <is>
          <t>VÄSTRA GÖTALANDS LÄN</t>
        </is>
      </c>
      <c r="G406" t="inlineStr">
        <is>
          <t>MUNKEDAL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45678</v>
      </c>
      <c r="E407" s="1" t="n">
        <v>46318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45145</v>
      </c>
      <c r="E408" s="1" t="n">
        <v>46318</v>
      </c>
      <c r="F408" t="inlineStr">
        <is>
          <t>VÄSTRA GÖTALANDS LÄN</t>
        </is>
      </c>
      <c r="G408" t="inlineStr">
        <is>
          <t>MUNKEDAL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22452-2023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45070</v>
      </c>
      <c r="E409" s="1" t="n">
        <v>46318</v>
      </c>
      <c r="F409" t="inlineStr">
        <is>
          <t>VÄSTRA GÖTALANDS LÄN</t>
        </is>
      </c>
      <c r="G409" t="inlineStr">
        <is>
          <t>MUNKEDAL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44593</v>
      </c>
      <c r="E410" s="1" t="n">
        <v>46318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15300-2024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45400</v>
      </c>
      <c r="E411" s="1" t="n">
        <v>46318</v>
      </c>
      <c r="F411" t="inlineStr">
        <is>
          <t>VÄSTRA GÖTALANDS LÄN</t>
        </is>
      </c>
      <c r="G411" t="inlineStr">
        <is>
          <t>MUNKEDAL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46318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46318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46318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46318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46318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2026-10-23T02:03:50Z</dcterms:created>
  <dcterms:modified xmlns:dcterms="http://purl.org/dc/terms/" xmlns:xsi="http://www.w3.org/2001/XMLSchema-instance" xsi:type="dcterms:W3CDTF">2026-10-23T02:03:51Z</dcterms:modified>
</cp:coreProperties>
</file>