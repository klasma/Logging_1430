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46228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46228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46228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46228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46228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46228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46228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46228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46228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46228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46228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46228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46228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46228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46228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45160-2024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45575</v>
      </c>
      <c r="E17" s="1" t="n">
        <v>46228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Naturvårdsverket</t>
        </is>
      </c>
      <c r="I17" t="n">
        <v>3.4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HYPERLINK("https://klasma.github.io/Logging_1430/artfynd/A 45160-2024 artfynd.xlsx", "A 45160-2024")</f>
        <v/>
      </c>
      <c r="X17">
        <f>HYPERLINK("https://klasma.github.io/Logging_1430/kartor/A 45160-2024 karta.png", "A 45160-2024")</f>
        <v/>
      </c>
      <c r="Y17">
        <f>HYPERLINK("https://klasma.github.io/Logging_1430/kartor_geotiff/A 45160-2024 georefererad karta.tif", "A 45160-2024")</f>
        <v/>
      </c>
      <c r="AA17">
        <f>HYPERLINK("https://klasma.github.io/Logging_1430/klagomål/A 45160-2024 FSC-klagomål.docx", "A 45160-2024")</f>
        <v/>
      </c>
      <c r="AB17">
        <f>HYPERLINK("https://klasma.github.io/Logging_1430/klagomålsmail/A 45160-2024 FSC-klagomål mail.docx", "A 45160-2024")</f>
        <v/>
      </c>
      <c r="AC17">
        <f>HYPERLINK("https://klasma.github.io/Logging_1430/tillsyn/A 45160-2024 tillsynsbegäran.docx", "A 45160-2024")</f>
        <v/>
      </c>
      <c r="AD17">
        <f>HYPERLINK("https://klasma.github.io/Logging_1430/tillsynsmail/A 45160-2024 tillsynsbegäran mail.docx", "A 45160-2024")</f>
        <v/>
      </c>
      <c r="AE17">
        <f>HYPERLINK("https://klasma.github.io/Logging_1430/fåglar/A 45160-2024 prioriterade fågelarter.docx", "A 45160-2024")</f>
        <v/>
      </c>
    </row>
    <row r="18" ht="15" customHeight="1">
      <c r="A18" t="inlineStr">
        <is>
          <t>A 58890-2022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46228</v>
      </c>
      <c r="F18" t="inlineStr">
        <is>
          <t>VÄSTRA GÖTALANDS LÄN</t>
        </is>
      </c>
      <c r="G18" t="inlineStr">
        <is>
          <t>MUNKEDAL</t>
        </is>
      </c>
      <c r="I18" t="n">
        <v>5.4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revmossa</t>
        </is>
      </c>
      <c r="W18">
        <f>HYPERLINK("https://klasma.github.io/Logging_1430/artfynd/A 58890-2022 artfynd.xlsx", "A 58890-2022")</f>
        <v/>
      </c>
      <c r="X18">
        <f>HYPERLINK("https://klasma.github.io/Logging_1430/kartor/A 58890-2022 karta.png", "A 58890-2022")</f>
        <v/>
      </c>
      <c r="Y18">
        <f>HYPERLINK("https://klasma.github.io/Logging_1430/kartor_geotiff/A 58890-2022 georefererad karta.tif", "A 58890-2022")</f>
        <v/>
      </c>
      <c r="AA18">
        <f>HYPERLINK("https://klasma.github.io/Logging_1430/klagomål/A 58890-2022 FSC-klagomål.docx", "A 58890-2022")</f>
        <v/>
      </c>
      <c r="AB18">
        <f>HYPERLINK("https://klasma.github.io/Logging_1430/klagomålsmail/A 58890-2022 FSC-klagomål mail.docx", "A 58890-2022")</f>
        <v/>
      </c>
      <c r="AC18">
        <f>HYPERLINK("https://klasma.github.io/Logging_1430/tillsyn/A 58890-2022 tillsynsbegäran.docx", "A 58890-2022")</f>
        <v/>
      </c>
      <c r="AD18">
        <f>HYPERLINK("https://klasma.github.io/Logging_1430/tillsynsmail/A 58890-2022 tillsynsbegäran mail.docx", "A 58890-2022")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46228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HYPERLINK("https://klasma.github.io/Logging_1430/artfynd/A 9934-2023 artfynd.xlsx", "A 9934-2023")</f>
        <v/>
      </c>
      <c r="X19">
        <f>HYPERLINK("https://klasma.github.io/Logging_1430/kartor/A 9934-2023 karta.png", "A 9934-2023")</f>
        <v/>
      </c>
      <c r="Y19">
        <f>HYPERLINK("https://klasma.github.io/Logging_1430/kartor_geotiff/A 9934-2023 georefererad karta.tif", "A 9934-2023")</f>
        <v/>
      </c>
      <c r="AA19">
        <f>HYPERLINK("https://klasma.github.io/Logging_1430/klagomål/A 9934-2023 FSC-klagomål.docx", "A 9934-2023")</f>
        <v/>
      </c>
      <c r="AB19">
        <f>HYPERLINK("https://klasma.github.io/Logging_1430/klagomålsmail/A 9934-2023 FSC-klagomål mail.docx", "A 9934-2023")</f>
        <v/>
      </c>
      <c r="AC19">
        <f>HYPERLINK("https://klasma.github.io/Logging_1430/tillsyn/A 9934-2023 tillsynsbegäran.docx", "A 9934-2023")</f>
        <v/>
      </c>
      <c r="AD19">
        <f>HYPERLINK("https://klasma.github.io/Logging_1430/tillsynsmail/A 9934-2023 tillsynsbegäran mail.docx", "A 9934-2023")</f>
        <v/>
      </c>
      <c r="AE19">
        <f>HYPERLINK("https://klasma.github.io/Logging_1430/fåglar/A 9934-2023 prioriterade fågelarter.docx", "A 9934-2023")</f>
        <v/>
      </c>
    </row>
    <row r="20" ht="15" customHeight="1">
      <c r="A20" t="inlineStr">
        <is>
          <t>A 2555-2023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46228</v>
      </c>
      <c r="F20" t="inlineStr">
        <is>
          <t>VÄSTRA GÖTALANDS LÄN</t>
        </is>
      </c>
      <c r="G20" t="inlineStr">
        <is>
          <t>MUNKEDAL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HYPERLINK("https://klasma.github.io/Logging_1430/artfynd/A 2555-2023 artfynd.xlsx", "A 2555-2023")</f>
        <v/>
      </c>
      <c r="X20">
        <f>HYPERLINK("https://klasma.github.io/Logging_1430/kartor/A 2555-2023 karta.png", "A 2555-2023")</f>
        <v/>
      </c>
      <c r="Y20">
        <f>HYPERLINK("https://klasma.github.io/Logging_1430/kartor_geotiff/A 2555-2023 georefererad karta.tif", "A 2555-2023")</f>
        <v/>
      </c>
      <c r="AA20">
        <f>HYPERLINK("https://klasma.github.io/Logging_1430/klagomål/A 2555-2023 FSC-klagomål.docx", "A 2555-2023")</f>
        <v/>
      </c>
      <c r="AB20">
        <f>HYPERLINK("https://klasma.github.io/Logging_1430/klagomålsmail/A 2555-2023 FSC-klagomål mail.docx", "A 2555-2023")</f>
        <v/>
      </c>
      <c r="AC20">
        <f>HYPERLINK("https://klasma.github.io/Logging_1430/tillsyn/A 2555-2023 tillsynsbegäran.docx", "A 2555-2023")</f>
        <v/>
      </c>
      <c r="AD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46228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HYPERLINK("https://klasma.github.io/Logging_1430/artfynd/A 37035-2024 artfynd.xlsx", "A 37035-2024")</f>
        <v/>
      </c>
      <c r="X21">
        <f>HYPERLINK("https://klasma.github.io/Logging_1430/kartor/A 37035-2024 karta.png", "A 37035-2024")</f>
        <v/>
      </c>
      <c r="Y21">
        <f>HYPERLINK("https://klasma.github.io/Logging_1430/kartor_geotiff/A 37035-2024 georefererad karta.tif", "A 37035-2024")</f>
        <v/>
      </c>
      <c r="AA21">
        <f>HYPERLINK("https://klasma.github.io/Logging_1430/klagomål/A 37035-2024 FSC-klagomål.docx", "A 37035-2024")</f>
        <v/>
      </c>
      <c r="AB21">
        <f>HYPERLINK("https://klasma.github.io/Logging_1430/klagomålsmail/A 37035-2024 FSC-klagomål mail.docx", "A 37035-2024")</f>
        <v/>
      </c>
      <c r="AC21">
        <f>HYPERLINK("https://klasma.github.io/Logging_1430/tillsyn/A 37035-2024 tillsynsbegäran.docx", "A 37035-2024")</f>
        <v/>
      </c>
      <c r="AD21">
        <f>HYPERLINK("https://klasma.github.io/Logging_1430/tillsynsmail/A 37035-2024 tillsynsbegäran mail.docx", "A 37035-2024")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46228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46228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20258-2022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44698</v>
      </c>
      <c r="E24" s="1" t="n">
        <v>46228</v>
      </c>
      <c r="F24" t="inlineStr">
        <is>
          <t>VÄSTRA GÖTALANDS LÄN</t>
        </is>
      </c>
      <c r="G24" t="inlineStr">
        <is>
          <t>MUNKEDAL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Honungsvaxing</t>
        </is>
      </c>
      <c r="W24">
        <f>HYPERLINK("https://klasma.github.io/Logging_1430/artfynd/A 20258-2022 artfynd.xlsx", "A 20258-2022")</f>
        <v/>
      </c>
      <c r="X24">
        <f>HYPERLINK("https://klasma.github.io/Logging_1430/kartor/A 20258-2022 karta.png", "A 20258-2022")</f>
        <v/>
      </c>
      <c r="Y24">
        <f>HYPERLINK("https://klasma.github.io/Logging_1430/kartor_geotiff/A 20258-2022 georefererad karta.tif", "A 20258-2022")</f>
        <v/>
      </c>
      <c r="AA24">
        <f>HYPERLINK("https://klasma.github.io/Logging_1430/klagomål/A 20258-2022 FSC-klagomål.docx", "A 20258-2022")</f>
        <v/>
      </c>
      <c r="AB24">
        <f>HYPERLINK("https://klasma.github.io/Logging_1430/klagomålsmail/A 20258-2022 FSC-klagomål mail.docx", "A 20258-2022")</f>
        <v/>
      </c>
      <c r="AC24">
        <f>HYPERLINK("https://klasma.github.io/Logging_1430/tillsyn/A 20258-2022 tillsynsbegäran.docx", "A 20258-2022")</f>
        <v/>
      </c>
      <c r="AD24">
        <f>HYPERLINK("https://klasma.github.io/Logging_1430/tillsynsmail/A 20258-2022 tillsynsbegäran mail.docx", "A 20258-2022")</f>
        <v/>
      </c>
    </row>
    <row r="25" ht="15" customHeight="1">
      <c r="A25" t="inlineStr">
        <is>
          <t>A 16618-2022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44672</v>
      </c>
      <c r="E25" s="1" t="n">
        <v>46228</v>
      </c>
      <c r="F25" t="inlineStr">
        <is>
          <t>VÄSTRA GÖTALANDS LÄN</t>
        </is>
      </c>
      <c r="G25" t="inlineStr">
        <is>
          <t>MUNKEDAL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Vanlig padda</t>
        </is>
      </c>
      <c r="W25">
        <f>HYPERLINK("https://klasma.github.io/Logging_1430/artfynd/A 16618-2022 artfynd.xlsx", "A 16618-2022")</f>
        <v/>
      </c>
      <c r="X25">
        <f>HYPERLINK("https://klasma.github.io/Logging_1430/kartor/A 16618-2022 karta.png", "A 16618-2022")</f>
        <v/>
      </c>
      <c r="Y25">
        <f>HYPERLINK("https://klasma.github.io/Logging_1430/kartor_geotiff/A 16618-2022 georefererad karta.tif", "A 16618-2022")</f>
        <v/>
      </c>
      <c r="AA25">
        <f>HYPERLINK("https://klasma.github.io/Logging_1430/klagomål/A 16618-2022 FSC-klagomål.docx", "A 16618-2022")</f>
        <v/>
      </c>
      <c r="AB25">
        <f>HYPERLINK("https://klasma.github.io/Logging_1430/klagomålsmail/A 16618-2022 FSC-klagomål mail.docx", "A 16618-2022")</f>
        <v/>
      </c>
      <c r="AC25">
        <f>HYPERLINK("https://klasma.github.io/Logging_1430/tillsyn/A 16618-2022 tillsynsbegäran.docx", "A 16618-2022")</f>
        <v/>
      </c>
      <c r="AD25">
        <f>HYPERLINK("https://klasma.github.io/Logging_1430/tillsynsmail/A 16618-2022 tillsynsbegäran mail.docx", "A 16618-2022")</f>
        <v/>
      </c>
    </row>
    <row r="26" ht="15" customHeight="1">
      <c r="A26" t="inlineStr">
        <is>
          <t>A 51398-2025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46228</v>
      </c>
      <c r="F26" t="inlineStr">
        <is>
          <t>VÄSTRA GÖTALANDS LÄN</t>
        </is>
      </c>
      <c r="G26" t="inlineStr">
        <is>
          <t>MUNKEDAL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HYPERLINK("https://klasma.github.io/Logging_1430/artfynd/A 51398-2025 artfynd.xlsx", "A 51398-2025")</f>
        <v/>
      </c>
      <c r="X26">
        <f>HYPERLINK("https://klasma.github.io/Logging_1430/kartor/A 51398-2025 karta.png", "A 51398-2025")</f>
        <v/>
      </c>
      <c r="Y26">
        <f>HYPERLINK("https://klasma.github.io/Logging_1430/kartor_geotiff/A 51398-2025 georefererad karta.tif", "A 51398-2025")</f>
        <v/>
      </c>
      <c r="AA26">
        <f>HYPERLINK("https://klasma.github.io/Logging_1430/klagomål/A 51398-2025 FSC-klagomål.docx", "A 51398-2025")</f>
        <v/>
      </c>
      <c r="AB26">
        <f>HYPERLINK("https://klasma.github.io/Logging_1430/klagomålsmail/A 51398-2025 FSC-klagomål mail.docx", "A 51398-2025")</f>
        <v/>
      </c>
      <c r="AC26">
        <f>HYPERLINK("https://klasma.github.io/Logging_1430/tillsyn/A 51398-2025 tillsynsbegäran.docx", "A 51398-2025")</f>
        <v/>
      </c>
      <c r="AD26">
        <f>HYPERLINK("https://klasma.github.io/Logging_1430/tillsynsmail/A 51398-2025 tillsynsbegäran mail.docx", "A 51398-2025")</f>
        <v/>
      </c>
    </row>
    <row r="27" ht="15" customHeight="1">
      <c r="A27" t="inlineStr">
        <is>
          <t>A 62525-2021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46228</v>
      </c>
      <c r="F27" t="inlineStr">
        <is>
          <t>VÄSTRA GÖTALANDS LÄN</t>
        </is>
      </c>
      <c r="G27" t="inlineStr">
        <is>
          <t>MUNKEDAL</t>
        </is>
      </c>
      <c r="I27" t="n">
        <v>14.5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Trollsmultron</t>
        </is>
      </c>
      <c r="W27">
        <f>HYPERLINK("https://klasma.github.io/Logging_1430/artfynd/A 62525-2021 artfynd.xlsx", "A 62525-2021")</f>
        <v/>
      </c>
      <c r="X27">
        <f>HYPERLINK("https://klasma.github.io/Logging_1430/kartor/A 62525-2021 karta.png", "A 62525-2021")</f>
        <v/>
      </c>
      <c r="Y27">
        <f>HYPERLINK("https://klasma.github.io/Logging_1430/kartor_geotiff/A 62525-2021 georefererad karta.tif", "A 62525-2021")</f>
        <v/>
      </c>
      <c r="AA27">
        <f>HYPERLINK("https://klasma.github.io/Logging_1430/klagomål/A 62525-2021 FSC-klagomål.docx", "A 62525-2021")</f>
        <v/>
      </c>
      <c r="AB27">
        <f>HYPERLINK("https://klasma.github.io/Logging_1430/klagomålsmail/A 62525-2021 FSC-klagomål mail.docx", "A 62525-2021")</f>
        <v/>
      </c>
      <c r="AC27">
        <f>HYPERLINK("https://klasma.github.io/Logging_1430/tillsyn/A 62525-2021 tillsynsbegäran.docx", "A 62525-2021")</f>
        <v/>
      </c>
      <c r="AD27">
        <f>HYPERLINK("https://klasma.github.io/Logging_1430/tillsynsmail/A 62525-2021 tillsynsbegäran mail.docx", "A 62525-2021")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46228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22963-2026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46228</v>
      </c>
      <c r="F29" t="inlineStr">
        <is>
          <t>VÄSTRA GÖTALANDS LÄN</t>
        </is>
      </c>
      <c r="G29" t="inlineStr">
        <is>
          <t>MUNKEDAL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22963-2026 artfynd.xlsx", "A 22963-2026")</f>
        <v/>
      </c>
      <c r="X29">
        <f>HYPERLINK("https://klasma.github.io/Logging_1430/kartor/A 22963-2026 karta.png", "A 22963-2026")</f>
        <v/>
      </c>
      <c r="Y29">
        <f>HYPERLINK("https://klasma.github.io/Logging_1430/kartor_geotiff/A 22963-2026 georefererad karta.tif", "A 22963-2026")</f>
        <v/>
      </c>
      <c r="AA29">
        <f>HYPERLINK("https://klasma.github.io/Logging_1430/klagomål/A 22963-2026 FSC-klagomål.docx", "A 22963-2026")</f>
        <v/>
      </c>
      <c r="AB29">
        <f>HYPERLINK("https://klasma.github.io/Logging_1430/klagomålsmail/A 22963-2026 FSC-klagomål mail.docx", "A 22963-2026")</f>
        <v/>
      </c>
      <c r="AC29">
        <f>HYPERLINK("https://klasma.github.io/Logging_1430/tillsyn/A 22963-2026 tillsynsbegäran.docx", "A 22963-2026")</f>
        <v/>
      </c>
      <c r="AD29">
        <f>HYPERLINK("https://klasma.github.io/Logging_1430/tillsynsmail/A 22963-2026 tillsynsbegäran mail.docx", "A 22963-2026")</f>
        <v/>
      </c>
    </row>
    <row r="30" ht="15" customHeight="1">
      <c r="A30" t="inlineStr">
        <is>
          <t>A 2887-2025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45677</v>
      </c>
      <c r="E30" s="1" t="n">
        <v>46228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9.699999999999999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Krusfrö</t>
        </is>
      </c>
      <c r="W30">
        <f>HYPERLINK("https://klasma.github.io/Logging_1430/artfynd/A 2887-2025 artfynd.xlsx", "A 2887-2025")</f>
        <v/>
      </c>
      <c r="X30">
        <f>HYPERLINK("https://klasma.github.io/Logging_1430/kartor/A 2887-2025 karta.png", "A 2887-2025")</f>
        <v/>
      </c>
      <c r="Y30">
        <f>HYPERLINK("https://klasma.github.io/Logging_1430/kartor_geotiff/A 2887-2025 georefererad karta.tif", "A 2887-2025")</f>
        <v/>
      </c>
      <c r="AA30">
        <f>HYPERLINK("https://klasma.github.io/Logging_1430/klagomål/A 2887-2025 FSC-klagomål.docx", "A 2887-2025")</f>
        <v/>
      </c>
      <c r="AB30">
        <f>HYPERLINK("https://klasma.github.io/Logging_1430/klagomålsmail/A 2887-2025 FSC-klagomål mail.docx", "A 2887-2025")</f>
        <v/>
      </c>
      <c r="AC30">
        <f>HYPERLINK("https://klasma.github.io/Logging_1430/tillsyn/A 2887-2025 tillsynsbegäran.docx", "A 2887-2025")</f>
        <v/>
      </c>
      <c r="AD30">
        <f>HYPERLINK("https://klasma.github.io/Logging_1430/tillsynsmail/A 2887-2025 tillsynsbegäran mail.docx", "A 2887-2025")</f>
        <v/>
      </c>
    </row>
    <row r="31" ht="15" customHeight="1">
      <c r="A31" t="inlineStr">
        <is>
          <t>A 45083-2024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46228</v>
      </c>
      <c r="F31" t="inlineStr">
        <is>
          <t>VÄSTRA GÖTALANDS LÄN</t>
        </is>
      </c>
      <c r="G31" t="inlineStr">
        <is>
          <t>MUNKEDAL</t>
        </is>
      </c>
      <c r="I31" t="n">
        <v>2.7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Svinrot</t>
        </is>
      </c>
      <c r="W31">
        <f>HYPERLINK("https://klasma.github.io/Logging_1430/artfynd/A 45083-2024 artfynd.xlsx", "A 45083-2024")</f>
        <v/>
      </c>
      <c r="X31">
        <f>HYPERLINK("https://klasma.github.io/Logging_1430/kartor/A 45083-2024 karta.png", "A 45083-2024")</f>
        <v/>
      </c>
      <c r="Y31">
        <f>HYPERLINK("https://klasma.github.io/Logging_1430/kartor_geotiff/A 45083-2024 georefererad karta.tif", "A 45083-2024")</f>
        <v/>
      </c>
      <c r="AA31">
        <f>HYPERLINK("https://klasma.github.io/Logging_1430/klagomål/A 45083-2024 FSC-klagomål.docx", "A 45083-2024")</f>
        <v/>
      </c>
      <c r="AB31">
        <f>HYPERLINK("https://klasma.github.io/Logging_1430/klagomålsmail/A 45083-2024 FSC-klagomål mail.docx", "A 45083-2024")</f>
        <v/>
      </c>
      <c r="AC31">
        <f>HYPERLINK("https://klasma.github.io/Logging_1430/tillsyn/A 45083-2024 tillsynsbegäran.docx", "A 45083-2024")</f>
        <v/>
      </c>
      <c r="AD31">
        <f>HYPERLINK("https://klasma.github.io/Logging_1430/tillsynsmail/A 45083-2024 tillsynsbegäran mail.docx", "A 45083-2024")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46228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46228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46228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46228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46228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46228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46228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46228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46228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46228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46228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46228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46228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46228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46228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46228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46228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46228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46228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46228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46228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46228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46228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46228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46228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46228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46228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46228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46228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46228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46228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46228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46228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46228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46228</v>
      </c>
      <c r="F66" t="inlineStr">
        <is>
          <t>VÄSTRA GÖTALANDS LÄN</t>
        </is>
      </c>
      <c r="G66" t="inlineStr">
        <is>
          <t>MUNKEDAL</t>
        </is>
      </c>
      <c r="I66" t="n">
        <v>20.2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46228</v>
      </c>
      <c r="F67" t="inlineStr">
        <is>
          <t>VÄSTRA GÖTALANDS LÄN</t>
        </is>
      </c>
      <c r="G67" t="inlineStr">
        <is>
          <t>MUNKEDAL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46228</v>
      </c>
      <c r="F68" t="inlineStr">
        <is>
          <t>VÄSTRA GÖTALANDS LÄN</t>
        </is>
      </c>
      <c r="G68" t="inlineStr">
        <is>
          <t>MUNKEDAL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35647-2023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45147</v>
      </c>
      <c r="E69" s="1" t="n">
        <v>46228</v>
      </c>
      <c r="F69" t="inlineStr">
        <is>
          <t>VÄSTRA GÖTALANDS LÄN</t>
        </is>
      </c>
      <c r="G69" t="inlineStr">
        <is>
          <t>MUNKEDAL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45488</v>
      </c>
      <c r="E70" s="1" t="n">
        <v>46228</v>
      </c>
      <c r="F70" t="inlineStr">
        <is>
          <t>VÄSTRA GÖTALANDS LÄN</t>
        </is>
      </c>
      <c r="G70" t="inlineStr">
        <is>
          <t>MUNKEDAL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45488</v>
      </c>
      <c r="E71" s="1" t="n">
        <v>46228</v>
      </c>
      <c r="F71" t="inlineStr">
        <is>
          <t>VÄSTRA GÖTALANDS LÄN</t>
        </is>
      </c>
      <c r="G71" t="inlineStr">
        <is>
          <t>MUNKEDAL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45747</v>
      </c>
      <c r="E72" s="1" t="n">
        <v>46228</v>
      </c>
      <c r="F72" t="inlineStr">
        <is>
          <t>VÄSTRA GÖTALANDS LÄN</t>
        </is>
      </c>
      <c r="G72" t="inlineStr">
        <is>
          <t>MUNKEDAL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46228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Kyrkan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44929</v>
      </c>
      <c r="E74" s="1" t="n">
        <v>46228</v>
      </c>
      <c r="F74" t="inlineStr">
        <is>
          <t>VÄSTRA GÖTALANDS LÄN</t>
        </is>
      </c>
      <c r="G74" t="inlineStr">
        <is>
          <t>MUNKEDAL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46228</v>
      </c>
      <c r="F75" t="inlineStr">
        <is>
          <t>VÄSTRA GÖTALANDS LÄN</t>
        </is>
      </c>
      <c r="G75" t="inlineStr">
        <is>
          <t>MUNKEDAL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46228</v>
      </c>
      <c r="F76" t="inlineStr">
        <is>
          <t>VÄSTRA GÖTALANDS LÄN</t>
        </is>
      </c>
      <c r="G76" t="inlineStr">
        <is>
          <t>MUNKEDAL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45322</v>
      </c>
      <c r="E77" s="1" t="n">
        <v>46228</v>
      </c>
      <c r="F77" t="inlineStr">
        <is>
          <t>VÄSTRA GÖTALANDS LÄN</t>
        </is>
      </c>
      <c r="G77" t="inlineStr">
        <is>
          <t>MUNKEDAL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46228</v>
      </c>
      <c r="F78" t="inlineStr">
        <is>
          <t>VÄSTRA GÖTALANDS LÄN</t>
        </is>
      </c>
      <c r="G78" t="inlineStr">
        <is>
          <t>MUNKEDAL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45640</v>
      </c>
      <c r="E79" s="1" t="n">
        <v>46228</v>
      </c>
      <c r="F79" t="inlineStr">
        <is>
          <t>VÄSTRA GÖTALANDS LÄN</t>
        </is>
      </c>
      <c r="G79" t="inlineStr">
        <is>
          <t>MUNKEDAL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46228</v>
      </c>
      <c r="F80" t="inlineStr">
        <is>
          <t>VÄSTRA GÖTALANDS LÄN</t>
        </is>
      </c>
      <c r="G80" t="inlineStr">
        <is>
          <t>MUNKEDAL</t>
        </is>
      </c>
      <c r="I80" t="n">
        <v>9.800000000000001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45478</v>
      </c>
      <c r="E81" s="1" t="n">
        <v>46228</v>
      </c>
      <c r="F81" t="inlineStr">
        <is>
          <t>VÄSTRA GÖTALANDS LÄN</t>
        </is>
      </c>
      <c r="G81" t="inlineStr">
        <is>
          <t>MUNKEDAL</t>
        </is>
      </c>
      <c r="I81" t="n">
        <v>8.4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46228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Övriga Aktiebolag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46228</v>
      </c>
      <c r="F83" t="inlineStr">
        <is>
          <t>VÄSTRA GÖTALANDS LÄN</t>
        </is>
      </c>
      <c r="G83" t="inlineStr">
        <is>
          <t>MUNKEDAL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45684</v>
      </c>
      <c r="E84" s="1" t="n">
        <v>46228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Kommuner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15853-2023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45022</v>
      </c>
      <c r="E85" s="1" t="n">
        <v>46228</v>
      </c>
      <c r="F85" t="inlineStr">
        <is>
          <t>VÄSTRA GÖTALANDS LÄN</t>
        </is>
      </c>
      <c r="G85" t="inlineStr">
        <is>
          <t>MUNKEDAL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45540</v>
      </c>
      <c r="E86" s="1" t="n">
        <v>46228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Övriga Aktiebolag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36891-2023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45154</v>
      </c>
      <c r="E87" s="1" t="n">
        <v>46228</v>
      </c>
      <c r="F87" t="inlineStr">
        <is>
          <t>VÄSTRA GÖTALANDS LÄN</t>
        </is>
      </c>
      <c r="G87" t="inlineStr">
        <is>
          <t>MUNKEDAL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45750</v>
      </c>
      <c r="E88" s="1" t="n">
        <v>46228</v>
      </c>
      <c r="F88" t="inlineStr">
        <is>
          <t>VÄSTRA GÖTALANDS LÄN</t>
        </is>
      </c>
      <c r="G88" t="inlineStr">
        <is>
          <t>MUNKEDAL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39163-2023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46228</v>
      </c>
      <c r="F89" t="inlineStr">
        <is>
          <t>VÄSTRA GÖTALANDS LÄN</t>
        </is>
      </c>
      <c r="G89" t="inlineStr">
        <is>
          <t>MUNKEDAL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62090-2023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46228</v>
      </c>
      <c r="F90" t="inlineStr">
        <is>
          <t>VÄSTRA GÖTALANDS LÄN</t>
        </is>
      </c>
      <c r="G90" t="inlineStr">
        <is>
          <t>MUNKEDAL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45084</v>
      </c>
      <c r="E91" s="1" t="n">
        <v>46228</v>
      </c>
      <c r="F91" t="inlineStr">
        <is>
          <t>VÄSTRA GÖTALANDS LÄN</t>
        </is>
      </c>
      <c r="G91" t="inlineStr">
        <is>
          <t>MUNKEDAL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46228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Övriga Aktiebolag</t>
        </is>
      </c>
      <c r="I92" t="n">
        <v>21.7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11812-2025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46228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Kommuner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46228</v>
      </c>
      <c r="F94" t="inlineStr">
        <is>
          <t>VÄSTRA GÖTALANDS LÄN</t>
        </is>
      </c>
      <c r="G94" t="inlineStr">
        <is>
          <t>MUNKEDAL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45293</v>
      </c>
      <c r="E95" s="1" t="n">
        <v>46228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Övriga Aktiebolag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46228</v>
      </c>
      <c r="F96" t="inlineStr">
        <is>
          <t>VÄSTRA GÖTALANDS LÄN</t>
        </is>
      </c>
      <c r="G96" t="inlineStr">
        <is>
          <t>MUNKEDAL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46228</v>
      </c>
      <c r="F97" t="inlineStr">
        <is>
          <t>VÄSTRA GÖTALANDS LÄN</t>
        </is>
      </c>
      <c r="G97" t="inlineStr">
        <is>
          <t>MUNKEDAL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61377-2023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45264</v>
      </c>
      <c r="E98" s="1" t="n">
        <v>46228</v>
      </c>
      <c r="F98" t="inlineStr">
        <is>
          <t>VÄSTRA GÖTALANDS LÄN</t>
        </is>
      </c>
      <c r="G98" t="inlineStr">
        <is>
          <t>MUNKEDAL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30308-2022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46228</v>
      </c>
      <c r="F99" t="inlineStr">
        <is>
          <t>VÄSTRA GÖTALANDS LÄN</t>
        </is>
      </c>
      <c r="G99" t="inlineStr">
        <is>
          <t>MUNKEDAL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45111</v>
      </c>
      <c r="E100" s="1" t="n">
        <v>46228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Naturvårdsverket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45076</v>
      </c>
      <c r="E101" s="1" t="n">
        <v>46228</v>
      </c>
      <c r="F101" t="inlineStr">
        <is>
          <t>VÄSTRA GÖTALANDS LÄN</t>
        </is>
      </c>
      <c r="G101" t="inlineStr">
        <is>
          <t>MUNKEDAL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45029</v>
      </c>
      <c r="E102" s="1" t="n">
        <v>46228</v>
      </c>
      <c r="F102" t="inlineStr">
        <is>
          <t>VÄSTRA GÖTALANDS LÄN</t>
        </is>
      </c>
      <c r="G102" t="inlineStr">
        <is>
          <t>MUNKEDAL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44935</v>
      </c>
      <c r="E103" s="1" t="n">
        <v>46228</v>
      </c>
      <c r="F103" t="inlineStr">
        <is>
          <t>VÄSTRA GÖTALANDS LÄN</t>
        </is>
      </c>
      <c r="G103" t="inlineStr">
        <is>
          <t>MUNKEDAL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44984</v>
      </c>
      <c r="E104" s="1" t="n">
        <v>46228</v>
      </c>
      <c r="F104" t="inlineStr">
        <is>
          <t>VÄSTRA GÖTALANDS LÄN</t>
        </is>
      </c>
      <c r="G104" t="inlineStr">
        <is>
          <t>MUNKEDAL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46228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Övriga Aktiebolag</t>
        </is>
      </c>
      <c r="I105" t="n">
        <v>25.2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54866-2024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45618</v>
      </c>
      <c r="E106" s="1" t="n">
        <v>46228</v>
      </c>
      <c r="F106" t="inlineStr">
        <is>
          <t>VÄSTRA GÖTALANDS LÄN</t>
        </is>
      </c>
      <c r="G106" t="inlineStr">
        <is>
          <t>MUNKEDAL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45317</v>
      </c>
      <c r="E107" s="1" t="n">
        <v>46228</v>
      </c>
      <c r="F107" t="inlineStr">
        <is>
          <t>VÄSTRA GÖTALANDS LÄN</t>
        </is>
      </c>
      <c r="G107" t="inlineStr">
        <is>
          <t>MUNKEDAL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46228</v>
      </c>
      <c r="F108" t="inlineStr">
        <is>
          <t>VÄSTRA GÖTALANDS LÄN</t>
        </is>
      </c>
      <c r="G108" t="inlineStr">
        <is>
          <t>MUNKEDAL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3611-2023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44946</v>
      </c>
      <c r="E109" s="1" t="n">
        <v>46228</v>
      </c>
      <c r="F109" t="inlineStr">
        <is>
          <t>VÄSTRA GÖTALANDS LÄN</t>
        </is>
      </c>
      <c r="G109" t="inlineStr">
        <is>
          <t>MUNKEDAL</t>
        </is>
      </c>
      <c r="H109" t="inlineStr">
        <is>
          <t>Övriga Aktiebolag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20251-2022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44698</v>
      </c>
      <c r="E110" s="1" t="n">
        <v>46228</v>
      </c>
      <c r="F110" t="inlineStr">
        <is>
          <t>VÄSTRA GÖTALANDS LÄN</t>
        </is>
      </c>
      <c r="G110" t="inlineStr">
        <is>
          <t>MUNKEDAL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45306</v>
      </c>
      <c r="E111" s="1" t="n">
        <v>46228</v>
      </c>
      <c r="F111" t="inlineStr">
        <is>
          <t>VÄSTRA GÖTALANDS LÄN</t>
        </is>
      </c>
      <c r="G111" t="inlineStr">
        <is>
          <t>MUNKEDAL</t>
        </is>
      </c>
      <c r="I111" t="n">
        <v>25.2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44993</v>
      </c>
      <c r="E112" s="1" t="n">
        <v>46228</v>
      </c>
      <c r="F112" t="inlineStr">
        <is>
          <t>VÄSTRA GÖTALANDS LÄN</t>
        </is>
      </c>
      <c r="G112" t="inlineStr">
        <is>
          <t>MUNKEDAL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44897</v>
      </c>
      <c r="E113" s="1" t="n">
        <v>46228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44964</v>
      </c>
      <c r="E114" s="1" t="n">
        <v>46228</v>
      </c>
      <c r="F114" t="inlineStr">
        <is>
          <t>VÄSTRA GÖTALANDS LÄN</t>
        </is>
      </c>
      <c r="G114" t="inlineStr">
        <is>
          <t>MUNKEDAL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46228</v>
      </c>
      <c r="F115" t="inlineStr">
        <is>
          <t>VÄSTRA GÖTALANDS LÄN</t>
        </is>
      </c>
      <c r="G115" t="inlineStr">
        <is>
          <t>MUNKEDAL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45351</v>
      </c>
      <c r="E116" s="1" t="n">
        <v>46228</v>
      </c>
      <c r="F116" t="inlineStr">
        <is>
          <t>VÄSTRA GÖTALANDS LÄN</t>
        </is>
      </c>
      <c r="G116" t="inlineStr">
        <is>
          <t>MUNKEDAL</t>
        </is>
      </c>
      <c r="H116" t="inlineStr">
        <is>
          <t>Övriga Aktiebolag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44937</v>
      </c>
      <c r="E117" s="1" t="n">
        <v>46228</v>
      </c>
      <c r="F117" t="inlineStr">
        <is>
          <t>VÄSTRA GÖTALANDS LÄN</t>
        </is>
      </c>
      <c r="G117" t="inlineStr">
        <is>
          <t>MUNKEDAL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45261</v>
      </c>
      <c r="E118" s="1" t="n">
        <v>46228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54760-2024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45618</v>
      </c>
      <c r="E119" s="1" t="n">
        <v>46228</v>
      </c>
      <c r="F119" t="inlineStr">
        <is>
          <t>VÄSTRA GÖTALANDS LÄN</t>
        </is>
      </c>
      <c r="G119" t="inlineStr">
        <is>
          <t>MUNKEDAL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38592-2025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46228</v>
      </c>
      <c r="F120" t="inlineStr">
        <is>
          <t>VÄSTRA GÖTALANDS LÄN</t>
        </is>
      </c>
      <c r="G120" t="inlineStr">
        <is>
          <t>MUNKEDAL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54518-2023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45233</v>
      </c>
      <c r="E121" s="1" t="n">
        <v>46228</v>
      </c>
      <c r="F121" t="inlineStr">
        <is>
          <t>VÄSTRA GÖTALANDS LÄN</t>
        </is>
      </c>
      <c r="G121" t="inlineStr">
        <is>
          <t>MUNKEDAL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45484</v>
      </c>
      <c r="E122" s="1" t="n">
        <v>46228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Övriga Aktiebolag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46228</v>
      </c>
      <c r="F123" t="inlineStr">
        <is>
          <t>VÄSTRA GÖTALANDS LÄN</t>
        </is>
      </c>
      <c r="G123" t="inlineStr">
        <is>
          <t>MUNKEDAL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45881</v>
      </c>
      <c r="E124" s="1" t="n">
        <v>46228</v>
      </c>
      <c r="F124" t="inlineStr">
        <is>
          <t>VÄSTRA GÖTALANDS LÄN</t>
        </is>
      </c>
      <c r="G124" t="inlineStr">
        <is>
          <t>MUNKEDAL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54955-2024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45619</v>
      </c>
      <c r="E125" s="1" t="n">
        <v>46228</v>
      </c>
      <c r="F125" t="inlineStr">
        <is>
          <t>VÄSTRA GÖTALANDS LÄN</t>
        </is>
      </c>
      <c r="G125" t="inlineStr">
        <is>
          <t>MUNKEDAL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45631</v>
      </c>
      <c r="E126" s="1" t="n">
        <v>46228</v>
      </c>
      <c r="F126" t="inlineStr">
        <is>
          <t>VÄSTRA GÖTALANDS LÄN</t>
        </is>
      </c>
      <c r="G126" t="inlineStr">
        <is>
          <t>MUNKEDAL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28397-2025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46228</v>
      </c>
      <c r="F127" t="inlineStr">
        <is>
          <t>VÄSTRA GÖTALANDS LÄN</t>
        </is>
      </c>
      <c r="G127" t="inlineStr">
        <is>
          <t>MUNKEDAL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45805</v>
      </c>
      <c r="E128" s="1" t="n">
        <v>46228</v>
      </c>
      <c r="F128" t="inlineStr">
        <is>
          <t>VÄSTRA GÖTALANDS LÄN</t>
        </is>
      </c>
      <c r="G128" t="inlineStr">
        <is>
          <t>MUNKEDAL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49350-2025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46228</v>
      </c>
      <c r="F129" t="inlineStr">
        <is>
          <t>VÄSTRA GÖTALANDS LÄN</t>
        </is>
      </c>
      <c r="G129" t="inlineStr">
        <is>
          <t>MUNKEDAL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46228</v>
      </c>
      <c r="F130" t="inlineStr">
        <is>
          <t>VÄSTRA GÖTALANDS LÄN</t>
        </is>
      </c>
      <c r="G130" t="inlineStr">
        <is>
          <t>MUNKEDAL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52555-2025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46228</v>
      </c>
      <c r="F131" t="inlineStr">
        <is>
          <t>VÄSTRA GÖTALANDS LÄN</t>
        </is>
      </c>
      <c r="G131" t="inlineStr">
        <is>
          <t>MUNKEDAL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40476-2025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45895</v>
      </c>
      <c r="E132" s="1" t="n">
        <v>46228</v>
      </c>
      <c r="F132" t="inlineStr">
        <is>
          <t>VÄSTRA GÖTALANDS LÄN</t>
        </is>
      </c>
      <c r="G132" t="inlineStr">
        <is>
          <t>MUNKEDAL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40431-2025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46228</v>
      </c>
      <c r="F133" t="inlineStr">
        <is>
          <t>VÄSTRA GÖTALANDS LÄN</t>
        </is>
      </c>
      <c r="G133" t="inlineStr">
        <is>
          <t>MUNKEDAL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45388</v>
      </c>
      <c r="E134" s="1" t="n">
        <v>46228</v>
      </c>
      <c r="F134" t="inlineStr">
        <is>
          <t>VÄSTRA GÖTALANDS LÄN</t>
        </is>
      </c>
      <c r="G134" t="inlineStr">
        <is>
          <t>MUNKEDAL</t>
        </is>
      </c>
      <c r="I134" t="n">
        <v>9.6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45897</v>
      </c>
      <c r="E135" s="1" t="n">
        <v>46228</v>
      </c>
      <c r="F135" t="inlineStr">
        <is>
          <t>VÄSTRA GÖTALANDS LÄN</t>
        </is>
      </c>
      <c r="G135" t="inlineStr">
        <is>
          <t>MUNKEDAL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46228</v>
      </c>
      <c r="F136" t="inlineStr">
        <is>
          <t>VÄSTRA GÖTALANDS LÄN</t>
        </is>
      </c>
      <c r="G136" t="inlineStr">
        <is>
          <t>MUNKEDAL</t>
        </is>
      </c>
      <c r="I136" t="n">
        <v>14.1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45540</v>
      </c>
      <c r="E137" s="1" t="n">
        <v>46228</v>
      </c>
      <c r="F137" t="inlineStr">
        <is>
          <t>VÄSTRA GÖTALANDS LÄN</t>
        </is>
      </c>
      <c r="G137" t="inlineStr">
        <is>
          <t>MUNKEDAL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45898</v>
      </c>
      <c r="E138" s="1" t="n">
        <v>46228</v>
      </c>
      <c r="F138" t="inlineStr">
        <is>
          <t>VÄSTRA GÖTALANDS LÄN</t>
        </is>
      </c>
      <c r="G138" t="inlineStr">
        <is>
          <t>MUNKEDAL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46228</v>
      </c>
      <c r="F139" t="inlineStr">
        <is>
          <t>VÄSTRA GÖTALANDS LÄN</t>
        </is>
      </c>
      <c r="G139" t="inlineStr">
        <is>
          <t>MUNKEDAL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45293</v>
      </c>
      <c r="E140" s="1" t="n">
        <v>46228</v>
      </c>
      <c r="F140" t="inlineStr">
        <is>
          <t>VÄSTRA GÖTALANDS LÄN</t>
        </is>
      </c>
      <c r="G140" t="inlineStr">
        <is>
          <t>MUNKEDAL</t>
        </is>
      </c>
      <c r="H140" t="inlineStr">
        <is>
          <t>Övriga Aktiebolag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21625-2023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45063</v>
      </c>
      <c r="E141" s="1" t="n">
        <v>46228</v>
      </c>
      <c r="F141" t="inlineStr">
        <is>
          <t>VÄSTRA GÖTALANDS LÄN</t>
        </is>
      </c>
      <c r="G141" t="inlineStr">
        <is>
          <t>MUNKEDAL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45148</v>
      </c>
      <c r="E142" s="1" t="n">
        <v>46228</v>
      </c>
      <c r="F142" t="inlineStr">
        <is>
          <t>VÄSTRA GÖTALANDS LÄN</t>
        </is>
      </c>
      <c r="G142" t="inlineStr">
        <is>
          <t>MUNKEDAL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41811-2025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45902</v>
      </c>
      <c r="E143" s="1" t="n">
        <v>46228</v>
      </c>
      <c r="F143" t="inlineStr">
        <is>
          <t>VÄSTRA GÖTALANDS LÄN</t>
        </is>
      </c>
      <c r="G143" t="inlineStr">
        <is>
          <t>MUNKEDAL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41813-2025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45902</v>
      </c>
      <c r="E144" s="1" t="n">
        <v>46228</v>
      </c>
      <c r="F144" t="inlineStr">
        <is>
          <t>VÄSTRA GÖTALANDS LÄN</t>
        </is>
      </c>
      <c r="G144" t="inlineStr">
        <is>
          <t>MUNKEDAL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46228</v>
      </c>
      <c r="F145" t="inlineStr">
        <is>
          <t>VÄSTRA GÖTALANDS LÄN</t>
        </is>
      </c>
      <c r="G145" t="inlineStr">
        <is>
          <t>MUNKEDAL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46228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Övriga Aktiebolag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42836-2025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45908</v>
      </c>
      <c r="E147" s="1" t="n">
        <v>46228</v>
      </c>
      <c r="F147" t="inlineStr">
        <is>
          <t>VÄSTRA GÖTALANDS LÄN</t>
        </is>
      </c>
      <c r="G147" t="inlineStr">
        <is>
          <t>MUNKEDAL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46228</v>
      </c>
      <c r="F148" t="inlineStr">
        <is>
          <t>VÄSTRA GÖTALANDS LÄN</t>
        </is>
      </c>
      <c r="G148" t="inlineStr">
        <is>
          <t>MUNKEDAL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43452-2025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46228</v>
      </c>
      <c r="F149" t="inlineStr">
        <is>
          <t>VÄSTRA GÖTALANDS LÄN</t>
        </is>
      </c>
      <c r="G149" t="inlineStr">
        <is>
          <t>MUNKEDAL</t>
        </is>
      </c>
      <c r="I149" t="n">
        <v>7.9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45337</v>
      </c>
      <c r="E150" s="1" t="n">
        <v>46228</v>
      </c>
      <c r="F150" t="inlineStr">
        <is>
          <t>VÄSTRA GÖTALANDS LÄN</t>
        </is>
      </c>
      <c r="G150" t="inlineStr">
        <is>
          <t>MUNKEDAL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22857-2022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44715</v>
      </c>
      <c r="E151" s="1" t="n">
        <v>46228</v>
      </c>
      <c r="F151" t="inlineStr">
        <is>
          <t>VÄSTRA GÖTALANDS LÄN</t>
        </is>
      </c>
      <c r="G151" t="inlineStr">
        <is>
          <t>MUNKEDAL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46228</v>
      </c>
      <c r="F152" t="inlineStr">
        <is>
          <t>VÄSTRA GÖTALANDS LÄN</t>
        </is>
      </c>
      <c r="G152" t="inlineStr">
        <is>
          <t>MUNKEDAL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45912</v>
      </c>
      <c r="E153" s="1" t="n">
        <v>46228</v>
      </c>
      <c r="F153" t="inlineStr">
        <is>
          <t>VÄSTRA GÖTALANDS LÄN</t>
        </is>
      </c>
      <c r="G153" t="inlineStr">
        <is>
          <t>MUNKEDAL</t>
        </is>
      </c>
      <c r="H153" t="inlineStr">
        <is>
          <t>Övriga Aktiebolag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45401</v>
      </c>
      <c r="E154" s="1" t="n">
        <v>46228</v>
      </c>
      <c r="F154" t="inlineStr">
        <is>
          <t>VÄSTRA GÖTALANDS LÄN</t>
        </is>
      </c>
      <c r="G154" t="inlineStr">
        <is>
          <t>MUNKEDAL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46228</v>
      </c>
      <c r="F155" t="inlineStr">
        <is>
          <t>VÄSTRA GÖTALANDS LÄN</t>
        </is>
      </c>
      <c r="G155" t="inlineStr">
        <is>
          <t>MUNKEDAL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45918</v>
      </c>
      <c r="E156" s="1" t="n">
        <v>46228</v>
      </c>
      <c r="F156" t="inlineStr">
        <is>
          <t>VÄSTRA GÖTALANDS LÄN</t>
        </is>
      </c>
      <c r="G156" t="inlineStr">
        <is>
          <t>MUNKEDAL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45486-2025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45921</v>
      </c>
      <c r="E157" s="1" t="n">
        <v>46228</v>
      </c>
      <c r="F157" t="inlineStr">
        <is>
          <t>VÄSTRA GÖTALANDS LÄN</t>
        </is>
      </c>
      <c r="G157" t="inlineStr">
        <is>
          <t>MUNKEDAL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50038-2023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46228</v>
      </c>
      <c r="F158" t="inlineStr">
        <is>
          <t>VÄSTRA GÖTALANDS LÄN</t>
        </is>
      </c>
      <c r="G158" t="inlineStr">
        <is>
          <t>MUNKEDAL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45355</v>
      </c>
      <c r="E159" s="1" t="n">
        <v>46228</v>
      </c>
      <c r="F159" t="inlineStr">
        <is>
          <t>VÄSTRA GÖTALANDS LÄN</t>
        </is>
      </c>
      <c r="G159" t="inlineStr">
        <is>
          <t>MUNKEDAL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46228</v>
      </c>
      <c r="F160" t="inlineStr">
        <is>
          <t>VÄSTRA GÖTALANDS LÄN</t>
        </is>
      </c>
      <c r="G160" t="inlineStr">
        <is>
          <t>MUNKEDAL</t>
        </is>
      </c>
      <c r="H160" t="inlineStr">
        <is>
          <t>Kyrkan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36948-2025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45874</v>
      </c>
      <c r="E161" s="1" t="n">
        <v>46228</v>
      </c>
      <c r="F161" t="inlineStr">
        <is>
          <t>VÄSTRA GÖTALANDS LÄN</t>
        </is>
      </c>
      <c r="G161" t="inlineStr">
        <is>
          <t>MUNKEDAL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46228</v>
      </c>
      <c r="F162" t="inlineStr">
        <is>
          <t>VÄSTRA GÖTALANDS LÄN</t>
        </is>
      </c>
      <c r="G162" t="inlineStr">
        <is>
          <t>MUNKEDAL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45072</v>
      </c>
      <c r="E163" s="1" t="n">
        <v>46228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Kommuner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44749</v>
      </c>
      <c r="E164" s="1" t="n">
        <v>46228</v>
      </c>
      <c r="F164" t="inlineStr">
        <is>
          <t>VÄSTRA GÖTALANDS LÄN</t>
        </is>
      </c>
      <c r="G164" t="inlineStr">
        <is>
          <t>MUNKEDAL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46228</v>
      </c>
      <c r="F165" t="inlineStr">
        <is>
          <t>VÄSTRA GÖTALANDS LÄN</t>
        </is>
      </c>
      <c r="G165" t="inlineStr">
        <is>
          <t>MUNKEDAL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49912-2023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45214</v>
      </c>
      <c r="E166" s="1" t="n">
        <v>46228</v>
      </c>
      <c r="F166" t="inlineStr">
        <is>
          <t>VÄSTRA GÖTALANDS LÄN</t>
        </is>
      </c>
      <c r="G166" t="inlineStr">
        <is>
          <t>MUNKEDAL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45630</v>
      </c>
      <c r="E167" s="1" t="n">
        <v>46228</v>
      </c>
      <c r="F167" t="inlineStr">
        <is>
          <t>VÄSTRA GÖTALANDS LÄN</t>
        </is>
      </c>
      <c r="G167" t="inlineStr">
        <is>
          <t>MUNKEDAL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45244</v>
      </c>
      <c r="E168" s="1" t="n">
        <v>46228</v>
      </c>
      <c r="F168" t="inlineStr">
        <is>
          <t>VÄSTRA GÖTALANDS LÄN</t>
        </is>
      </c>
      <c r="G168" t="inlineStr">
        <is>
          <t>MUNKEDAL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45229</v>
      </c>
      <c r="E169" s="1" t="n">
        <v>46228</v>
      </c>
      <c r="F169" t="inlineStr">
        <is>
          <t>VÄSTRA GÖTALANDS LÄN</t>
        </is>
      </c>
      <c r="G169" t="inlineStr">
        <is>
          <t>MUNKEDAL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46228</v>
      </c>
      <c r="F170" t="inlineStr">
        <is>
          <t>VÄSTRA GÖTALANDS LÄN</t>
        </is>
      </c>
      <c r="G170" t="inlineStr">
        <is>
          <t>MUNKEDAL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44904</v>
      </c>
      <c r="E171" s="1" t="n">
        <v>46228</v>
      </c>
      <c r="F171" t="inlineStr">
        <is>
          <t>VÄSTRA GÖTALANDS LÄN</t>
        </is>
      </c>
      <c r="G171" t="inlineStr">
        <is>
          <t>MUNKEDAL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46228</v>
      </c>
      <c r="F172" t="inlineStr">
        <is>
          <t>VÄSTRA GÖTALANDS LÄN</t>
        </is>
      </c>
      <c r="G172" t="inlineStr">
        <is>
          <t>MUNKEDAL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44672</v>
      </c>
      <c r="E173" s="1" t="n">
        <v>46228</v>
      </c>
      <c r="F173" t="inlineStr">
        <is>
          <t>VÄSTRA GÖTALANDS LÄN</t>
        </is>
      </c>
      <c r="G173" t="inlineStr">
        <is>
          <t>MUNKEDAL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57619-2024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45630</v>
      </c>
      <c r="E174" s="1" t="n">
        <v>46228</v>
      </c>
      <c r="F174" t="inlineStr">
        <is>
          <t>VÄSTRA GÖTALANDS LÄN</t>
        </is>
      </c>
      <c r="G174" t="inlineStr">
        <is>
          <t>MUNKEDAL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45630</v>
      </c>
      <c r="E175" s="1" t="n">
        <v>46228</v>
      </c>
      <c r="F175" t="inlineStr">
        <is>
          <t>VÄSTRA GÖTALANDS LÄN</t>
        </is>
      </c>
      <c r="G175" t="inlineStr">
        <is>
          <t>MUNKEDAL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57630-2024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45630</v>
      </c>
      <c r="E176" s="1" t="n">
        <v>46228</v>
      </c>
      <c r="F176" t="inlineStr">
        <is>
          <t>VÄSTRA GÖTALANDS LÄN</t>
        </is>
      </c>
      <c r="G176" t="inlineStr">
        <is>
          <t>MUNKEDAL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46228</v>
      </c>
      <c r="F177" t="inlineStr">
        <is>
          <t>VÄSTRA GÖTALANDS LÄN</t>
        </is>
      </c>
      <c r="G177" t="inlineStr">
        <is>
          <t>MUNKEDAL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46228</v>
      </c>
      <c r="F178" t="inlineStr">
        <is>
          <t>VÄSTRA GÖTALANDS LÄN</t>
        </is>
      </c>
      <c r="G178" t="inlineStr">
        <is>
          <t>MUNKEDAL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53412-2023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45229</v>
      </c>
      <c r="E179" s="1" t="n">
        <v>46228</v>
      </c>
      <c r="F179" t="inlineStr">
        <is>
          <t>VÄSTRA GÖTALANDS LÄN</t>
        </is>
      </c>
      <c r="G179" t="inlineStr">
        <is>
          <t>MUNKEDAL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46228</v>
      </c>
      <c r="F180" t="inlineStr">
        <is>
          <t>VÄSTRA GÖTALANDS LÄN</t>
        </is>
      </c>
      <c r="G180" t="inlineStr">
        <is>
          <t>MUNKEDAL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46228</v>
      </c>
      <c r="F181" t="inlineStr">
        <is>
          <t>VÄSTRA GÖTALANDS LÄN</t>
        </is>
      </c>
      <c r="G181" t="inlineStr">
        <is>
          <t>MUNKEDAL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45796</v>
      </c>
      <c r="E182" s="1" t="n">
        <v>46228</v>
      </c>
      <c r="F182" t="inlineStr">
        <is>
          <t>VÄSTRA GÖTALANDS LÄN</t>
        </is>
      </c>
      <c r="G182" t="inlineStr">
        <is>
          <t>MUNKEDAL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45165-2024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45575</v>
      </c>
      <c r="E183" s="1" t="n">
        <v>46228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Naturvårdsverket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45488</v>
      </c>
      <c r="E184" s="1" t="n">
        <v>46228</v>
      </c>
      <c r="F184" t="inlineStr">
        <is>
          <t>VÄSTRA GÖTALANDS LÄN</t>
        </is>
      </c>
      <c r="G184" t="inlineStr">
        <is>
          <t>MUNKEDAL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45231</v>
      </c>
      <c r="E185" s="1" t="n">
        <v>46228</v>
      </c>
      <c r="F185" t="inlineStr">
        <is>
          <t>VÄSTRA GÖTALANDS LÄN</t>
        </is>
      </c>
      <c r="G185" t="inlineStr">
        <is>
          <t>MUNKEDAL</t>
        </is>
      </c>
      <c r="I185" t="n">
        <v>8.699999999999999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23610-2023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45072</v>
      </c>
      <c r="E186" s="1" t="n">
        <v>46228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Kommuner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45348</v>
      </c>
      <c r="E187" s="1" t="n">
        <v>46228</v>
      </c>
      <c r="F187" t="inlineStr">
        <is>
          <t>VÄSTRA GÖTALANDS LÄN</t>
        </is>
      </c>
      <c r="G187" t="inlineStr">
        <is>
          <t>MUNKEDAL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28667-2022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44748</v>
      </c>
      <c r="E188" s="1" t="n">
        <v>46228</v>
      </c>
      <c r="F188" t="inlineStr">
        <is>
          <t>VÄSTRA GÖTALANDS LÄN</t>
        </is>
      </c>
      <c r="G188" t="inlineStr">
        <is>
          <t>MUNKEDAL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46228</v>
      </c>
      <c r="F189" t="inlineStr">
        <is>
          <t>VÄSTRA GÖTALANDS LÄN</t>
        </is>
      </c>
      <c r="G189" t="inlineStr">
        <is>
          <t>MUNKEDAL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45939</v>
      </c>
      <c r="E190" s="1" t="n">
        <v>46228</v>
      </c>
      <c r="F190" t="inlineStr">
        <is>
          <t>VÄSTRA GÖTALANDS LÄN</t>
        </is>
      </c>
      <c r="G190" t="inlineStr">
        <is>
          <t>MUNKEDAL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45761</v>
      </c>
      <c r="E191" s="1" t="n">
        <v>46228</v>
      </c>
      <c r="F191" t="inlineStr">
        <is>
          <t>VÄSTRA GÖTALANDS LÄN</t>
        </is>
      </c>
      <c r="G191" t="inlineStr">
        <is>
          <t>MUNKEDAL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45362</v>
      </c>
      <c r="E192" s="1" t="n">
        <v>46228</v>
      </c>
      <c r="F192" t="inlineStr">
        <is>
          <t>VÄSTRA GÖTALANDS LÄN</t>
        </is>
      </c>
      <c r="G192" t="inlineStr">
        <is>
          <t>MUNKEDAL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20456-2026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46228</v>
      </c>
      <c r="F193" t="inlineStr">
        <is>
          <t>VÄSTRA GÖTALANDS LÄN</t>
        </is>
      </c>
      <c r="G193" t="inlineStr">
        <is>
          <t>MUNKEDAL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31350-2022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44774</v>
      </c>
      <c r="E194" s="1" t="n">
        <v>46228</v>
      </c>
      <c r="F194" t="inlineStr">
        <is>
          <t>VÄSTRA GÖTALANDS LÄN</t>
        </is>
      </c>
      <c r="G194" t="inlineStr">
        <is>
          <t>MUNKEDAL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62098-2022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44920</v>
      </c>
      <c r="E195" s="1" t="n">
        <v>46228</v>
      </c>
      <c r="F195" t="inlineStr">
        <is>
          <t>VÄSTRA GÖTALANDS LÄN</t>
        </is>
      </c>
      <c r="G195" t="inlineStr">
        <is>
          <t>MUNKEDAL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62101-2022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44920</v>
      </c>
      <c r="E196" s="1" t="n">
        <v>46228</v>
      </c>
      <c r="F196" t="inlineStr">
        <is>
          <t>VÄSTRA GÖTALANDS LÄN</t>
        </is>
      </c>
      <c r="G196" t="inlineStr">
        <is>
          <t>MUNKEDAL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46228</v>
      </c>
      <c r="F197" t="inlineStr">
        <is>
          <t>VÄSTRA GÖTALANDS LÄN</t>
        </is>
      </c>
      <c r="G197" t="inlineStr">
        <is>
          <t>MUNKEDAL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46228</v>
      </c>
      <c r="F198" t="inlineStr">
        <is>
          <t>VÄSTRA GÖTALANDS LÄN</t>
        </is>
      </c>
      <c r="G198" t="inlineStr">
        <is>
          <t>MUNKEDAL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13162-2023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45002</v>
      </c>
      <c r="E199" s="1" t="n">
        <v>46228</v>
      </c>
      <c r="F199" t="inlineStr">
        <is>
          <t>VÄSTRA GÖTALANDS LÄN</t>
        </is>
      </c>
      <c r="G199" t="inlineStr">
        <is>
          <t>MUNKEDAL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45189</v>
      </c>
      <c r="E200" s="1" t="n">
        <v>46228</v>
      </c>
      <c r="F200" t="inlineStr">
        <is>
          <t>VÄSTRA GÖTALANDS LÄN</t>
        </is>
      </c>
      <c r="G200" t="inlineStr">
        <is>
          <t>MUNKEDAL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45296</v>
      </c>
      <c r="E201" s="1" t="n">
        <v>46228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Kyrkan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52115-2025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45952</v>
      </c>
      <c r="E202" s="1" t="n">
        <v>46228</v>
      </c>
      <c r="F202" t="inlineStr">
        <is>
          <t>VÄSTRA GÖTALANDS LÄN</t>
        </is>
      </c>
      <c r="G202" t="inlineStr">
        <is>
          <t>MUNKEDAL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44866</v>
      </c>
      <c r="E203" s="1" t="n">
        <v>46228</v>
      </c>
      <c r="F203" t="inlineStr">
        <is>
          <t>VÄSTRA GÖTALANDS LÄN</t>
        </is>
      </c>
      <c r="G203" t="inlineStr">
        <is>
          <t>MUNKEDAL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44606</v>
      </c>
      <c r="E204" s="1" t="n">
        <v>46228</v>
      </c>
      <c r="F204" t="inlineStr">
        <is>
          <t>VÄSTRA GÖTALANDS LÄN</t>
        </is>
      </c>
      <c r="G204" t="inlineStr">
        <is>
          <t>MUNKEDAL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13303-2023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45005</v>
      </c>
      <c r="E205" s="1" t="n">
        <v>46228</v>
      </c>
      <c r="F205" t="inlineStr">
        <is>
          <t>VÄSTRA GÖTALANDS LÄN</t>
        </is>
      </c>
      <c r="G205" t="inlineStr">
        <is>
          <t>MUNKEDAL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45560</v>
      </c>
      <c r="E206" s="1" t="n">
        <v>46228</v>
      </c>
      <c r="F206" t="inlineStr">
        <is>
          <t>VÄSTRA GÖTALANDS LÄN</t>
        </is>
      </c>
      <c r="G206" t="inlineStr">
        <is>
          <t>MUNKEDAL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21230-2026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46146</v>
      </c>
      <c r="E207" s="1" t="n">
        <v>46228</v>
      </c>
      <c r="F207" t="inlineStr">
        <is>
          <t>VÄSTRA GÖTALANDS LÄN</t>
        </is>
      </c>
      <c r="G207" t="inlineStr">
        <is>
          <t>MUNKEDAL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44897</v>
      </c>
      <c r="E208" s="1" t="n">
        <v>46228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46228</v>
      </c>
      <c r="F209" t="inlineStr">
        <is>
          <t>VÄSTRA GÖTALANDS LÄN</t>
        </is>
      </c>
      <c r="G209" t="inlineStr">
        <is>
          <t>MUNKEDAL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60230-2024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45640</v>
      </c>
      <c r="E210" s="1" t="n">
        <v>46228</v>
      </c>
      <c r="F210" t="inlineStr">
        <is>
          <t>VÄSTRA GÖTALANDS LÄN</t>
        </is>
      </c>
      <c r="G210" t="inlineStr">
        <is>
          <t>MUNKEDAL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46189</v>
      </c>
      <c r="E211" s="1" t="n">
        <v>46228</v>
      </c>
      <c r="F211" t="inlineStr">
        <is>
          <t>VÄSTRA GÖTALANDS LÄN</t>
        </is>
      </c>
      <c r="G211" t="inlineStr">
        <is>
          <t>MUNKEDAL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12243-2024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45378</v>
      </c>
      <c r="E212" s="1" t="n">
        <v>46228</v>
      </c>
      <c r="F212" t="inlineStr">
        <is>
          <t>VÄSTRA GÖTALANDS LÄN</t>
        </is>
      </c>
      <c r="G212" t="inlineStr">
        <is>
          <t>MUNKEDAL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46440-2024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45582</v>
      </c>
      <c r="E213" s="1" t="n">
        <v>46228</v>
      </c>
      <c r="F213" t="inlineStr">
        <is>
          <t>VÄSTRA GÖTALANDS LÄN</t>
        </is>
      </c>
      <c r="G213" t="inlineStr">
        <is>
          <t>MUNKEDAL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45674</v>
      </c>
      <c r="E214" s="1" t="n">
        <v>46228</v>
      </c>
      <c r="F214" t="inlineStr">
        <is>
          <t>VÄSTRA GÖTALANDS LÄN</t>
        </is>
      </c>
      <c r="G214" t="inlineStr">
        <is>
          <t>MUNKEDAL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44958</v>
      </c>
      <c r="E215" s="1" t="n">
        <v>46228</v>
      </c>
      <c r="F215" t="inlineStr">
        <is>
          <t>VÄSTRA GÖTALANDS LÄN</t>
        </is>
      </c>
      <c r="G215" t="inlineStr">
        <is>
          <t>MUNKEDAL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45313</v>
      </c>
      <c r="E216" s="1" t="n">
        <v>46228</v>
      </c>
      <c r="F216" t="inlineStr">
        <is>
          <t>VÄSTRA GÖTALANDS LÄN</t>
        </is>
      </c>
      <c r="G216" t="inlineStr">
        <is>
          <t>MUNKEDAL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41521-2023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45175</v>
      </c>
      <c r="E217" s="1" t="n">
        <v>46228</v>
      </c>
      <c r="F217" t="inlineStr">
        <is>
          <t>VÄSTRA GÖTALANDS LÄN</t>
        </is>
      </c>
      <c r="G217" t="inlineStr">
        <is>
          <t>MUNKEDAL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45640</v>
      </c>
      <c r="E218" s="1" t="n">
        <v>46228</v>
      </c>
      <c r="F218" t="inlineStr">
        <is>
          <t>VÄSTRA GÖTALANDS LÄN</t>
        </is>
      </c>
      <c r="G218" t="inlineStr">
        <is>
          <t>MUNKEDAL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46190</v>
      </c>
      <c r="E219" s="1" t="n">
        <v>46228</v>
      </c>
      <c r="F219" t="inlineStr">
        <is>
          <t>VÄSTRA GÖTALANDS LÄN</t>
        </is>
      </c>
      <c r="G219" t="inlineStr">
        <is>
          <t>MUNKEDAL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45664</v>
      </c>
      <c r="E220" s="1" t="n">
        <v>46228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45296</v>
      </c>
      <c r="E221" s="1" t="n">
        <v>46228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Kyrkan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46228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45188</v>
      </c>
      <c r="E223" s="1" t="n">
        <v>46228</v>
      </c>
      <c r="F223" t="inlineStr">
        <is>
          <t>VÄSTRA GÖTALANDS LÄN</t>
        </is>
      </c>
      <c r="G223" t="inlineStr">
        <is>
          <t>MUNKEDAL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44960</v>
      </c>
      <c r="E224" s="1" t="n">
        <v>46228</v>
      </c>
      <c r="F224" t="inlineStr">
        <is>
          <t>VÄSTRA GÖTALANDS LÄN</t>
        </is>
      </c>
      <c r="G224" t="inlineStr">
        <is>
          <t>MUNKEDAL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29707-2022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44755</v>
      </c>
      <c r="E225" s="1" t="n">
        <v>46228</v>
      </c>
      <c r="F225" t="inlineStr">
        <is>
          <t>VÄSTRA GÖTALANDS LÄN</t>
        </is>
      </c>
      <c r="G225" t="inlineStr">
        <is>
          <t>MUNKEDAL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57739-2025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46228</v>
      </c>
      <c r="F226" t="inlineStr">
        <is>
          <t>VÄSTRA GÖTALANDS LÄN</t>
        </is>
      </c>
      <c r="G226" t="inlineStr">
        <is>
          <t>MUNKEDAL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46228</v>
      </c>
      <c r="F227" t="inlineStr">
        <is>
          <t>VÄSTRA GÖTALANDS LÄN</t>
        </is>
      </c>
      <c r="G227" t="inlineStr">
        <is>
          <t>MUNKEDAL</t>
        </is>
      </c>
      <c r="I227" t="n">
        <v>10.9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4362-2024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45325</v>
      </c>
      <c r="E228" s="1" t="n">
        <v>46228</v>
      </c>
      <c r="F228" t="inlineStr">
        <is>
          <t>VÄSTRA GÖTALANDS LÄN</t>
        </is>
      </c>
      <c r="G228" t="inlineStr">
        <is>
          <t>MUNKEDAL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55438-2025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45971</v>
      </c>
      <c r="E229" s="1" t="n">
        <v>46228</v>
      </c>
      <c r="F229" t="inlineStr">
        <is>
          <t>VÄSTRA GÖTALANDS LÄN</t>
        </is>
      </c>
      <c r="G229" t="inlineStr">
        <is>
          <t>MUNKEDAL</t>
        </is>
      </c>
      <c r="I229" t="n">
        <v>16.3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58515-2025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46228</v>
      </c>
      <c r="F230" t="inlineStr">
        <is>
          <t>VÄSTRA GÖTALANDS LÄN</t>
        </is>
      </c>
      <c r="G230" t="inlineStr">
        <is>
          <t>MUNKEDAL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58711-2025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45986</v>
      </c>
      <c r="E231" s="1" t="n">
        <v>46228</v>
      </c>
      <c r="F231" t="inlineStr">
        <is>
          <t>VÄSTRA GÖTALANDS LÄN</t>
        </is>
      </c>
      <c r="G231" t="inlineStr">
        <is>
          <t>MUNKEDAL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45147</v>
      </c>
      <c r="E232" s="1" t="n">
        <v>46228</v>
      </c>
      <c r="F232" t="inlineStr">
        <is>
          <t>VÄSTRA GÖTALANDS LÄN</t>
        </is>
      </c>
      <c r="G232" t="inlineStr">
        <is>
          <t>MUNKEDAL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45755</v>
      </c>
      <c r="E233" s="1" t="n">
        <v>46228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45988</v>
      </c>
      <c r="E234" s="1" t="n">
        <v>46228</v>
      </c>
      <c r="F234" t="inlineStr">
        <is>
          <t>VÄSTRA GÖTALANDS LÄN</t>
        </is>
      </c>
      <c r="G234" t="inlineStr">
        <is>
          <t>MUNKEDAL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53839-2021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44467</v>
      </c>
      <c r="E235" s="1" t="n">
        <v>46228</v>
      </c>
      <c r="F235" t="inlineStr">
        <is>
          <t>VÄSTRA GÖTALANDS LÄN</t>
        </is>
      </c>
      <c r="G235" t="inlineStr">
        <is>
          <t>MUNKEDAL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54933-2024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45618</v>
      </c>
      <c r="E236" s="1" t="n">
        <v>46228</v>
      </c>
      <c r="F236" t="inlineStr">
        <is>
          <t>VÄSTRA GÖTALANDS LÄN</t>
        </is>
      </c>
      <c r="G236" t="inlineStr">
        <is>
          <t>MUNKEDAL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18278-2025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45762</v>
      </c>
      <c r="E237" s="1" t="n">
        <v>46228</v>
      </c>
      <c r="F237" t="inlineStr">
        <is>
          <t>VÄSTRA GÖTALANDS LÄN</t>
        </is>
      </c>
      <c r="G237" t="inlineStr">
        <is>
          <t>MUNKEDAL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61247-2025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46000</v>
      </c>
      <c r="E238" s="1" t="n">
        <v>46228</v>
      </c>
      <c r="F238" t="inlineStr">
        <is>
          <t>VÄSTRA GÖTALANDS LÄN</t>
        </is>
      </c>
      <c r="G238" t="inlineStr">
        <is>
          <t>MUNKEDAL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46000</v>
      </c>
      <c r="E239" s="1" t="n">
        <v>46228</v>
      </c>
      <c r="F239" t="inlineStr">
        <is>
          <t>VÄSTRA GÖTALANDS LÄN</t>
        </is>
      </c>
      <c r="G239" t="inlineStr">
        <is>
          <t>MUNKEDAL</t>
        </is>
      </c>
      <c r="I239" t="n">
        <v>17.5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46228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46228</v>
      </c>
      <c r="F241" t="inlineStr">
        <is>
          <t>VÄSTRA GÖTALANDS LÄN</t>
        </is>
      </c>
      <c r="G241" t="inlineStr">
        <is>
          <t>MUNKEDAL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45264</v>
      </c>
      <c r="E242" s="1" t="n">
        <v>46228</v>
      </c>
      <c r="F242" t="inlineStr">
        <is>
          <t>VÄSTRA GÖTALANDS LÄN</t>
        </is>
      </c>
      <c r="G242" t="inlineStr">
        <is>
          <t>MUNKEDAL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46002</v>
      </c>
      <c r="E243" s="1" t="n">
        <v>46228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19.1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45160</v>
      </c>
      <c r="E244" s="1" t="n">
        <v>46228</v>
      </c>
      <c r="F244" t="inlineStr">
        <is>
          <t>VÄSTRA GÖTALANDS LÄN</t>
        </is>
      </c>
      <c r="G244" t="inlineStr">
        <is>
          <t>MUNKEDAL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46228</v>
      </c>
      <c r="F245" t="inlineStr">
        <is>
          <t>VÄSTRA GÖTALANDS LÄN</t>
        </is>
      </c>
      <c r="G245" t="inlineStr">
        <is>
          <t>MUNKEDAL</t>
        </is>
      </c>
      <c r="I245" t="n">
        <v>8.9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53514-2024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45614</v>
      </c>
      <c r="E246" s="1" t="n">
        <v>46228</v>
      </c>
      <c r="F246" t="inlineStr">
        <is>
          <t>VÄSTRA GÖTALANDS LÄN</t>
        </is>
      </c>
      <c r="G246" t="inlineStr">
        <is>
          <t>MUNKEDAL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62500-2025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46228</v>
      </c>
      <c r="F247" t="inlineStr">
        <is>
          <t>VÄSTRA GÖTALANDS LÄN</t>
        </is>
      </c>
      <c r="G247" t="inlineStr">
        <is>
          <t>MUNKEDAL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46013</v>
      </c>
      <c r="E248" s="1" t="n">
        <v>46228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11.6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63515-2025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46228</v>
      </c>
      <c r="F249" t="inlineStr">
        <is>
          <t>VÄSTRA GÖTALANDS LÄN</t>
        </is>
      </c>
      <c r="G249" t="inlineStr">
        <is>
          <t>MUNKEDAL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46228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45145</v>
      </c>
      <c r="E251" s="1" t="n">
        <v>46228</v>
      </c>
      <c r="F251" t="inlineStr">
        <is>
          <t>VÄSTRA GÖTALANDS LÄN</t>
        </is>
      </c>
      <c r="G251" t="inlineStr">
        <is>
          <t>MUNKEDAL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22452-2023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45070</v>
      </c>
      <c r="E252" s="1" t="n">
        <v>46228</v>
      </c>
      <c r="F252" t="inlineStr">
        <is>
          <t>VÄSTRA GÖTALANDS LÄN</t>
        </is>
      </c>
      <c r="G252" t="inlineStr">
        <is>
          <t>MUNKEDAL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46022</v>
      </c>
      <c r="E253" s="1" t="n">
        <v>46228</v>
      </c>
      <c r="F253" t="inlineStr">
        <is>
          <t>VÄSTRA GÖTALANDS LÄN</t>
        </is>
      </c>
      <c r="G253" t="inlineStr">
        <is>
          <t>MUNKEDAL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64146-2025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46022</v>
      </c>
      <c r="E254" s="1" t="n">
        <v>46228</v>
      </c>
      <c r="F254" t="inlineStr">
        <is>
          <t>VÄSTRA GÖTALANDS LÄN</t>
        </is>
      </c>
      <c r="G254" t="inlineStr">
        <is>
          <t>MUNKEDAL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5139-2022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44593</v>
      </c>
      <c r="E255" s="1" t="n">
        <v>46228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Övriga Aktiebolag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45400</v>
      </c>
      <c r="E256" s="1" t="n">
        <v>46228</v>
      </c>
      <c r="F256" t="inlineStr">
        <is>
          <t>VÄSTRA GÖTALANDS LÄN</t>
        </is>
      </c>
      <c r="G256" t="inlineStr">
        <is>
          <t>MUNKEDAL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46228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Övriga Aktiebolag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46228</v>
      </c>
      <c r="F258" t="inlineStr">
        <is>
          <t>VÄSTRA GÖTALANDS LÄN</t>
        </is>
      </c>
      <c r="G258" t="inlineStr">
        <is>
          <t>MUNKEDAL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46203</v>
      </c>
      <c r="E259" s="1" t="n">
        <v>46228</v>
      </c>
      <c r="F259" t="inlineStr">
        <is>
          <t>VÄSTRA GÖTALANDS LÄN</t>
        </is>
      </c>
      <c r="G259" t="inlineStr">
        <is>
          <t>MUNKEDAL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46035</v>
      </c>
      <c r="E260" s="1" t="n">
        <v>46228</v>
      </c>
      <c r="F260" t="inlineStr">
        <is>
          <t>VÄSTRA GÖTALANDS LÄN</t>
        </is>
      </c>
      <c r="G260" t="inlineStr">
        <is>
          <t>MUNKEDAL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2002-2026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46035</v>
      </c>
      <c r="E261" s="1" t="n">
        <v>46228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45678</v>
      </c>
      <c r="E262" s="1" t="n">
        <v>46228</v>
      </c>
      <c r="F262" t="inlineStr">
        <is>
          <t>VÄSTRA GÖTALANDS LÄN</t>
        </is>
      </c>
      <c r="G262" t="inlineStr">
        <is>
          <t>MUNKEDAL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62331-2023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46228</v>
      </c>
      <c r="F263" t="inlineStr">
        <is>
          <t>VÄSTRA GÖTALANDS LÄN</t>
        </is>
      </c>
      <c r="G263" t="inlineStr">
        <is>
          <t>MUNKEDAL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24088-2024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45456</v>
      </c>
      <c r="E264" s="1" t="n">
        <v>46228</v>
      </c>
      <c r="F264" t="inlineStr">
        <is>
          <t>VÄSTRA GÖTALANDS LÄN</t>
        </is>
      </c>
      <c r="G264" t="inlineStr">
        <is>
          <t>MUNKEDAL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3003-2026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46228</v>
      </c>
      <c r="F265" t="inlineStr">
        <is>
          <t>VÄSTRA GÖTALANDS LÄN</t>
        </is>
      </c>
      <c r="G265" t="inlineStr">
        <is>
          <t>MUNKEDAL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46228</v>
      </c>
      <c r="F266" t="inlineStr">
        <is>
          <t>VÄSTRA GÖTALANDS LÄN</t>
        </is>
      </c>
      <c r="G266" t="inlineStr">
        <is>
          <t>MUNKEDAL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45820</v>
      </c>
      <c r="E267" s="1" t="n">
        <v>46228</v>
      </c>
      <c r="F267" t="inlineStr">
        <is>
          <t>VÄSTRA GÖTALANDS LÄN</t>
        </is>
      </c>
      <c r="G267" t="inlineStr">
        <is>
          <t>MUNKEDAL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22959-2026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46160</v>
      </c>
      <c r="E268" s="1" t="n">
        <v>46228</v>
      </c>
      <c r="F268" t="inlineStr">
        <is>
          <t>VÄSTRA GÖTALANDS LÄN</t>
        </is>
      </c>
      <c r="G268" t="inlineStr">
        <is>
          <t>MUNKEDAL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29515-2026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46198</v>
      </c>
      <c r="E269" s="1" t="n">
        <v>46228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statliga verk och myndigheter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45478</v>
      </c>
      <c r="E270" s="1" t="n">
        <v>46228</v>
      </c>
      <c r="F270" t="inlineStr">
        <is>
          <t>VÄSTRA GÖTALANDS LÄN</t>
        </is>
      </c>
      <c r="G270" t="inlineStr">
        <is>
          <t>MUNKEDAL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4371-2026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46228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46228</v>
      </c>
      <c r="F272" t="inlineStr">
        <is>
          <t>VÄSTRA GÖTALANDS LÄN</t>
        </is>
      </c>
      <c r="G272" t="inlineStr">
        <is>
          <t>MUNKEDAL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46047</v>
      </c>
      <c r="E273" s="1" t="n">
        <v>46228</v>
      </c>
      <c r="F273" t="inlineStr">
        <is>
          <t>VÄSTRA GÖTALANDS LÄN</t>
        </is>
      </c>
      <c r="G273" t="inlineStr">
        <is>
          <t>MUNKEDAL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46228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Övriga Aktiebolag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46228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Kyrkan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46055</v>
      </c>
      <c r="E276" s="1" t="n">
        <v>46228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30002-2026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46202</v>
      </c>
      <c r="E277" s="1" t="n">
        <v>46228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Aktiebolag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6685-2026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46228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Övriga Aktiebolag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23876-2026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46167</v>
      </c>
      <c r="E279" s="1" t="n">
        <v>46228</v>
      </c>
      <c r="F279" t="inlineStr">
        <is>
          <t>VÄSTRA GÖTALANDS LÄN</t>
        </is>
      </c>
      <c r="G279" t="inlineStr">
        <is>
          <t>MUNKEDAL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46228</v>
      </c>
      <c r="F280" t="inlineStr">
        <is>
          <t>VÄSTRA GÖTALANDS LÄN</t>
        </is>
      </c>
      <c r="G280" t="inlineStr">
        <is>
          <t>MUNKEDAL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46062</v>
      </c>
      <c r="E281" s="1" t="n">
        <v>46228</v>
      </c>
      <c r="F281" t="inlineStr">
        <is>
          <t>VÄSTRA GÖTALANDS LÄN</t>
        </is>
      </c>
      <c r="G281" t="inlineStr">
        <is>
          <t>MUNKEDAL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7950-2026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46228</v>
      </c>
      <c r="F282" t="inlineStr">
        <is>
          <t>VÄSTRA GÖTALANDS LÄN</t>
        </is>
      </c>
      <c r="G282" t="inlineStr">
        <is>
          <t>MUNKEDAL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46228</v>
      </c>
      <c r="F283" t="inlineStr">
        <is>
          <t>VÄSTRA GÖTALANDS LÄN</t>
        </is>
      </c>
      <c r="G283" t="inlineStr">
        <is>
          <t>MUNKEDAL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23872-2026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46167</v>
      </c>
      <c r="E284" s="1" t="n">
        <v>46228</v>
      </c>
      <c r="F284" t="inlineStr">
        <is>
          <t>VÄSTRA GÖTALANDS LÄN</t>
        </is>
      </c>
      <c r="G284" t="inlineStr">
        <is>
          <t>MUNKEDAL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44580</v>
      </c>
      <c r="E285" s="1" t="n">
        <v>46228</v>
      </c>
      <c r="F285" t="inlineStr">
        <is>
          <t>VÄSTRA GÖTALANDS LÄN</t>
        </is>
      </c>
      <c r="G285" t="inlineStr">
        <is>
          <t>MUNKEDAL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52302-2022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44873</v>
      </c>
      <c r="E286" s="1" t="n">
        <v>46228</v>
      </c>
      <c r="F286" t="inlineStr">
        <is>
          <t>VÄSTRA GÖTALANDS LÄN</t>
        </is>
      </c>
      <c r="G286" t="inlineStr">
        <is>
          <t>MUNKEDAL</t>
        </is>
      </c>
      <c r="I286" t="n">
        <v>9.300000000000001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10096-2026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46073</v>
      </c>
      <c r="E287" s="1" t="n">
        <v>46228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10097-2026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46073</v>
      </c>
      <c r="E288" s="1" t="n">
        <v>46228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46169</v>
      </c>
      <c r="E289" s="1" t="n">
        <v>46228</v>
      </c>
      <c r="F289" t="inlineStr">
        <is>
          <t>VÄSTRA GÖTALANDS LÄN</t>
        </is>
      </c>
      <c r="G289" t="inlineStr">
        <is>
          <t>MUNKEDAL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45736</v>
      </c>
      <c r="E290" s="1" t="n">
        <v>46228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45123-2021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44439</v>
      </c>
      <c r="E291" s="1" t="n">
        <v>46228</v>
      </c>
      <c r="F291" t="inlineStr">
        <is>
          <t>VÄSTRA GÖTALANDS LÄN</t>
        </is>
      </c>
      <c r="G291" t="inlineStr">
        <is>
          <t>MUNKEDAL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10775-2026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46078</v>
      </c>
      <c r="E292" s="1" t="n">
        <v>46228</v>
      </c>
      <c r="F292" t="inlineStr">
        <is>
          <t>VÄSTRA GÖTALANDS LÄN</t>
        </is>
      </c>
      <c r="G292" t="inlineStr">
        <is>
          <t>MUNKEDAL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46228</v>
      </c>
      <c r="F293" t="inlineStr">
        <is>
          <t>VÄSTRA GÖTALANDS LÄN</t>
        </is>
      </c>
      <c r="G293" t="inlineStr">
        <is>
          <t>MUNKEDAL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26699-2024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45470</v>
      </c>
      <c r="E294" s="1" t="n">
        <v>46228</v>
      </c>
      <c r="F294" t="inlineStr">
        <is>
          <t>VÄSTRA GÖTALANDS LÄN</t>
        </is>
      </c>
      <c r="G294" t="inlineStr">
        <is>
          <t>MUNKEDAL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46228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Kyrkan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62463-2023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45268</v>
      </c>
      <c r="E296" s="1" t="n">
        <v>46228</v>
      </c>
      <c r="F296" t="inlineStr">
        <is>
          <t>VÄSTRA GÖTALANDS LÄN</t>
        </is>
      </c>
      <c r="G296" t="inlineStr">
        <is>
          <t>MUNKEDAL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19289-2025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45769</v>
      </c>
      <c r="E297" s="1" t="n">
        <v>46228</v>
      </c>
      <c r="F297" t="inlineStr">
        <is>
          <t>VÄSTRA GÖTALANDS LÄN</t>
        </is>
      </c>
      <c r="G297" t="inlineStr">
        <is>
          <t>MUNKEDAL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49946-2021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44454</v>
      </c>
      <c r="E298" s="1" t="n">
        <v>46228</v>
      </c>
      <c r="F298" t="inlineStr">
        <is>
          <t>VÄSTRA GÖTALANDS LÄN</t>
        </is>
      </c>
      <c r="G298" t="inlineStr">
        <is>
          <t>MUNKEDAL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33192-2023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45127</v>
      </c>
      <c r="E299" s="1" t="n">
        <v>46228</v>
      </c>
      <c r="F299" t="inlineStr">
        <is>
          <t>VÄSTRA GÖTALANDS LÄN</t>
        </is>
      </c>
      <c r="G299" t="inlineStr">
        <is>
          <t>MUNKEDAL</t>
        </is>
      </c>
      <c r="I299" t="n">
        <v>7.8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6809-2024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45342</v>
      </c>
      <c r="E300" s="1" t="n">
        <v>46228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Kyrkan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45546</v>
      </c>
      <c r="E301" s="1" t="n">
        <v>46228</v>
      </c>
      <c r="F301" t="inlineStr">
        <is>
          <t>VÄSTRA GÖTALANDS LÄN</t>
        </is>
      </c>
      <c r="G301" t="inlineStr">
        <is>
          <t>MUNKEDAL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12624-2026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46091</v>
      </c>
      <c r="E302" s="1" t="n">
        <v>46228</v>
      </c>
      <c r="F302" t="inlineStr">
        <is>
          <t>VÄSTRA GÖTALANDS LÄN</t>
        </is>
      </c>
      <c r="G302" t="inlineStr">
        <is>
          <t>MUNKEDAL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45667</v>
      </c>
      <c r="E303" s="1" t="n">
        <v>46228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45618</v>
      </c>
      <c r="E304" s="1" t="n">
        <v>46228</v>
      </c>
      <c r="F304" t="inlineStr">
        <is>
          <t>VÄSTRA GÖTALANDS LÄN</t>
        </is>
      </c>
      <c r="G304" t="inlineStr">
        <is>
          <t>MUNKEDAL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31166-2026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46209</v>
      </c>
      <c r="E305" s="1" t="n">
        <v>46228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16.7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31164-2026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46209</v>
      </c>
      <c r="E306" s="1" t="n">
        <v>46228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Aktiebolag</t>
        </is>
      </c>
      <c r="I306" t="n">
        <v>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14607-2026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46101</v>
      </c>
      <c r="E307" s="1" t="n">
        <v>46228</v>
      </c>
      <c r="F307" t="inlineStr">
        <is>
          <t>VÄSTRA GÖTALANDS LÄN</t>
        </is>
      </c>
      <c r="G307" t="inlineStr">
        <is>
          <t>MUNKEDAL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33925-2024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45522</v>
      </c>
      <c r="E308" s="1" t="n">
        <v>46228</v>
      </c>
      <c r="F308" t="inlineStr">
        <is>
          <t>VÄSTRA GÖTALANDS LÄN</t>
        </is>
      </c>
      <c r="G308" t="inlineStr">
        <is>
          <t>MUNKEDAL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14608-2026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46101</v>
      </c>
      <c r="E309" s="1" t="n">
        <v>46228</v>
      </c>
      <c r="F309" t="inlineStr">
        <is>
          <t>VÄSTRA GÖTALANDS LÄN</t>
        </is>
      </c>
      <c r="G309" t="inlineStr">
        <is>
          <t>MUNKEDAL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31165-2026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46209</v>
      </c>
      <c r="E310" s="1" t="n">
        <v>46228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Övriga Aktiebolag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31167-2026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46209</v>
      </c>
      <c r="E311" s="1" t="n">
        <v>46228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31247-2026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46217</v>
      </c>
      <c r="E312" s="1" t="n">
        <v>46228</v>
      </c>
      <c r="F312" t="inlineStr">
        <is>
          <t>VÄSTRA GÖTALANDS LÄN</t>
        </is>
      </c>
      <c r="G312" t="inlineStr">
        <is>
          <t>MUNKEDAL</t>
        </is>
      </c>
      <c r="I312" t="n">
        <v>9.1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25232-2026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46175</v>
      </c>
      <c r="E313" s="1" t="n">
        <v>46228</v>
      </c>
      <c r="F313" t="inlineStr">
        <is>
          <t>VÄSTRA GÖTALANDS LÄN</t>
        </is>
      </c>
      <c r="G313" t="inlineStr">
        <is>
          <t>MUNKEDAL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33194-2023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45127</v>
      </c>
      <c r="E314" s="1" t="n">
        <v>46228</v>
      </c>
      <c r="F314" t="inlineStr">
        <is>
          <t>VÄSTRA GÖTALANDS LÄN</t>
        </is>
      </c>
      <c r="G314" t="inlineStr">
        <is>
          <t>MUNKEDAL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45667</v>
      </c>
      <c r="E315" s="1" t="n">
        <v>46228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16407-2026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46228</v>
      </c>
      <c r="F316" t="inlineStr">
        <is>
          <t>VÄSTRA GÖTALANDS LÄN</t>
        </is>
      </c>
      <c r="G316" t="inlineStr">
        <is>
          <t>MUNKEDAL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46228</v>
      </c>
      <c r="F317" t="inlineStr">
        <is>
          <t>VÄSTRA GÖTALANDS LÄN</t>
        </is>
      </c>
      <c r="G317" t="inlineStr">
        <is>
          <t>MUNKEDAL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16410-2026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46228</v>
      </c>
      <c r="F318" t="inlineStr">
        <is>
          <t>VÄSTRA GÖTALANDS LÄN</t>
        </is>
      </c>
      <c r="G318" t="inlineStr">
        <is>
          <t>MUNKEDAL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16416-2026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46111</v>
      </c>
      <c r="E319" s="1" t="n">
        <v>46228</v>
      </c>
      <c r="F319" t="inlineStr">
        <is>
          <t>VÄSTRA GÖTALANDS LÄN</t>
        </is>
      </c>
      <c r="G319" t="inlineStr">
        <is>
          <t>MUNKEDAL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46228</v>
      </c>
      <c r="F320" t="inlineStr">
        <is>
          <t>VÄSTRA GÖTALANDS LÄN</t>
        </is>
      </c>
      <c r="G320" t="inlineStr">
        <is>
          <t>MUNKEDAL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31243-2026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46217</v>
      </c>
      <c r="E321" s="1" t="n">
        <v>46228</v>
      </c>
      <c r="F321" t="inlineStr">
        <is>
          <t>VÄSTRA GÖTALANDS LÄN</t>
        </is>
      </c>
      <c r="G321" t="inlineStr">
        <is>
          <t>MUNKEDAL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46111</v>
      </c>
      <c r="E322" s="1" t="n">
        <v>46228</v>
      </c>
      <c r="F322" t="inlineStr">
        <is>
          <t>VÄSTRA GÖTALANDS LÄN</t>
        </is>
      </c>
      <c r="G322" t="inlineStr">
        <is>
          <t>MUNKEDAL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46171</v>
      </c>
      <c r="E323" s="1" t="n">
        <v>46228</v>
      </c>
      <c r="F323" t="inlineStr">
        <is>
          <t>VÄSTRA GÖTALANDS LÄN</t>
        </is>
      </c>
      <c r="G323" t="inlineStr">
        <is>
          <t>MUNKEDAL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36906-2023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46228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Övriga Aktiebolag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43438-2021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44432</v>
      </c>
      <c r="E325" s="1" t="n">
        <v>46228</v>
      </c>
      <c r="F325" t="inlineStr">
        <is>
          <t>VÄSTRA GÖTALANDS LÄN</t>
        </is>
      </c>
      <c r="G325" t="inlineStr">
        <is>
          <t>MUNKEDAL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43547-2021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44432</v>
      </c>
      <c r="E326" s="1" t="n">
        <v>46228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16631-2022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44672</v>
      </c>
      <c r="E327" s="1" t="n">
        <v>46228</v>
      </c>
      <c r="F327" t="inlineStr">
        <is>
          <t>VÄSTRA GÖTALANDS LÄN</t>
        </is>
      </c>
      <c r="G327" t="inlineStr">
        <is>
          <t>MUNKEDAL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19173-2026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46129</v>
      </c>
      <c r="E328" s="1" t="n">
        <v>46228</v>
      </c>
      <c r="F328" t="inlineStr">
        <is>
          <t>VÄSTRA GÖTALANDS LÄN</t>
        </is>
      </c>
      <c r="G328" t="inlineStr">
        <is>
          <t>MUNKEDAL</t>
        </is>
      </c>
      <c r="H328" t="inlineStr">
        <is>
          <t>Övriga Aktiebolag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38164-2022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44812</v>
      </c>
      <c r="E329" s="1" t="n">
        <v>46228</v>
      </c>
      <c r="F329" t="inlineStr">
        <is>
          <t>VÄSTRA GÖTALANDS LÄN</t>
        </is>
      </c>
      <c r="G329" t="inlineStr">
        <is>
          <t>MUNKEDAL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14339-2024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45393</v>
      </c>
      <c r="E330" s="1" t="n">
        <v>46228</v>
      </c>
      <c r="F330" t="inlineStr">
        <is>
          <t>VÄSTRA GÖTALANDS LÄN</t>
        </is>
      </c>
      <c r="G330" t="inlineStr">
        <is>
          <t>MUNKEDAL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41714-2024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45560</v>
      </c>
      <c r="E331" s="1" t="n">
        <v>46228</v>
      </c>
      <c r="F331" t="inlineStr">
        <is>
          <t>VÄSTRA GÖTALANDS LÄN</t>
        </is>
      </c>
      <c r="G331" t="inlineStr">
        <is>
          <t>MUNKEDAL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18280-2026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46126</v>
      </c>
      <c r="E332" s="1" t="n">
        <v>46228</v>
      </c>
      <c r="F332" t="inlineStr">
        <is>
          <t>VÄSTRA GÖTALANDS LÄN</t>
        </is>
      </c>
      <c r="G332" t="inlineStr">
        <is>
          <t>MUNKEDAL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59160-2022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46228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Kyrkan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46131</v>
      </c>
      <c r="E334" s="1" t="n">
        <v>46228</v>
      </c>
      <c r="F334" t="inlineStr">
        <is>
          <t>VÄSTRA GÖTALANDS LÄN</t>
        </is>
      </c>
      <c r="G334" t="inlineStr">
        <is>
          <t>MUNKEDAL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19593-2026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46134</v>
      </c>
      <c r="E335" s="1" t="n">
        <v>46228</v>
      </c>
      <c r="F335" t="inlineStr">
        <is>
          <t>VÄSTRA GÖTALANDS LÄN</t>
        </is>
      </c>
      <c r="G335" t="inlineStr">
        <is>
          <t>MUNKEDAL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45111</v>
      </c>
      <c r="E336" s="1" t="n">
        <v>46228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Naturvårdsverket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30554-2023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45111</v>
      </c>
      <c r="E337" s="1" t="n">
        <v>46228</v>
      </c>
      <c r="F337" t="inlineStr">
        <is>
          <t>VÄSTRA GÖTALANDS LÄN</t>
        </is>
      </c>
      <c r="G337" t="inlineStr">
        <is>
          <t>MUNKEDAL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61695-2023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45261</v>
      </c>
      <c r="E338" s="1" t="n">
        <v>46228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Övriga Aktiebolag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26835-2026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46185</v>
      </c>
      <c r="E339" s="1" t="n">
        <v>46228</v>
      </c>
      <c r="F339" t="inlineStr">
        <is>
          <t>VÄSTRA GÖTALANDS LÄN</t>
        </is>
      </c>
      <c r="G339" t="inlineStr">
        <is>
          <t>MUNKEDAL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58617-2023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45251</v>
      </c>
      <c r="E340" s="1" t="n">
        <v>46228</v>
      </c>
      <c r="F340" t="inlineStr">
        <is>
          <t>VÄSTRA GÖTALANDS LÄN</t>
        </is>
      </c>
      <c r="G340" t="inlineStr">
        <is>
          <t>MUNKEDAL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7844-2022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44608</v>
      </c>
      <c r="E341" s="1" t="n">
        <v>46228</v>
      </c>
      <c r="F341" t="inlineStr">
        <is>
          <t>VÄSTRA GÖTALANDS LÄN</t>
        </is>
      </c>
      <c r="G341" t="inlineStr">
        <is>
          <t>MUNKEDAL</t>
        </is>
      </c>
      <c r="I341" t="n">
        <v>15.4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50034-2023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45215</v>
      </c>
      <c r="E342" s="1" t="n">
        <v>46228</v>
      </c>
      <c r="F342" t="inlineStr">
        <is>
          <t>VÄSTRA GÖTALANDS LÄN</t>
        </is>
      </c>
      <c r="G342" t="inlineStr">
        <is>
          <t>MUNKEDAL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22518-2023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45071</v>
      </c>
      <c r="E343" s="1" t="n">
        <v>46228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Naturvårdsverket</t>
        </is>
      </c>
      <c r="I343" t="n">
        <v>15.8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35685-2024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45532</v>
      </c>
      <c r="E344" s="1" t="n">
        <v>46228</v>
      </c>
      <c r="F344" t="inlineStr">
        <is>
          <t>VÄSTRA GÖTALANDS LÄN</t>
        </is>
      </c>
      <c r="G344" t="inlineStr">
        <is>
          <t>MUNKEDAL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45155</v>
      </c>
      <c r="E345" s="1" t="n">
        <v>46228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Övriga Aktiebolag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2792-2024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45314</v>
      </c>
      <c r="E346" s="1" t="n">
        <v>46228</v>
      </c>
      <c r="F346" t="inlineStr">
        <is>
          <t>VÄSTRA GÖTALANDS LÄN</t>
        </is>
      </c>
      <c r="G346" t="inlineStr">
        <is>
          <t>MUNKEDAL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45488</v>
      </c>
      <c r="E347" s="1" t="n">
        <v>46228</v>
      </c>
      <c r="F347" t="inlineStr">
        <is>
          <t>VÄSTRA GÖTALANDS LÄN</t>
        </is>
      </c>
      <c r="G347" t="inlineStr">
        <is>
          <t>MUNKEDAL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9739-2023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44984</v>
      </c>
      <c r="E348" s="1" t="n">
        <v>46228</v>
      </c>
      <c r="F348" t="inlineStr">
        <is>
          <t>VÄSTRA GÖTALANDS LÄN</t>
        </is>
      </c>
      <c r="G348" t="inlineStr">
        <is>
          <t>MUNKEDAL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30133-2024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45489</v>
      </c>
      <c r="E349" s="1" t="n">
        <v>46228</v>
      </c>
      <c r="F349" t="inlineStr">
        <is>
          <t>VÄSTRA GÖTALANDS LÄN</t>
        </is>
      </c>
      <c r="G349" t="inlineStr">
        <is>
          <t>MUNKEDAL</t>
        </is>
      </c>
      <c r="I349" t="n">
        <v>10.3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45456</v>
      </c>
      <c r="E350" s="1" t="n">
        <v>46228</v>
      </c>
      <c r="F350" t="inlineStr">
        <is>
          <t>VÄSTRA GÖTALANDS LÄN</t>
        </is>
      </c>
      <c r="G350" t="inlineStr">
        <is>
          <t>MUNKEDAL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64879-2023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45282</v>
      </c>
      <c r="E351" s="1" t="n">
        <v>46228</v>
      </c>
      <c r="F351" t="inlineStr">
        <is>
          <t>VÄSTRA GÖTALANDS LÄN</t>
        </is>
      </c>
      <c r="G351" t="inlineStr">
        <is>
          <t>MUNKEDAL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45736</v>
      </c>
      <c r="E352" s="1" t="n">
        <v>46228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45684</v>
      </c>
      <c r="E353" s="1" t="n">
        <v>46228</v>
      </c>
      <c r="F353" t="inlineStr">
        <is>
          <t>VÄSTRA GÖTALANDS LÄN</t>
        </is>
      </c>
      <c r="G353" t="inlineStr">
        <is>
          <t>MUNKEDAL</t>
        </is>
      </c>
      <c r="H353" t="inlineStr">
        <is>
          <t>Kommuner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20220-2023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45055</v>
      </c>
      <c r="E354" s="1" t="n">
        <v>46228</v>
      </c>
      <c r="F354" t="inlineStr">
        <is>
          <t>VÄSTRA GÖTALANDS LÄN</t>
        </is>
      </c>
      <c r="G354" t="inlineStr">
        <is>
          <t>MUNKEDAL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60227-2024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45640</v>
      </c>
      <c r="E355" s="1" t="n">
        <v>46228</v>
      </c>
      <c r="F355" t="inlineStr">
        <is>
          <t>VÄSTRA GÖTALANDS LÄN</t>
        </is>
      </c>
      <c r="G355" t="inlineStr">
        <is>
          <t>MUNKEDAL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55183-2024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45620</v>
      </c>
      <c r="E356" s="1" t="n">
        <v>46228</v>
      </c>
      <c r="F356" t="inlineStr">
        <is>
          <t>VÄSTRA GÖTALANDS LÄN</t>
        </is>
      </c>
      <c r="G356" t="inlineStr">
        <is>
          <t>MUNKEDAL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11268-2024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45371</v>
      </c>
      <c r="E357" s="1" t="n">
        <v>46228</v>
      </c>
      <c r="F357" t="inlineStr">
        <is>
          <t>VÄSTRA GÖTALANDS LÄN</t>
        </is>
      </c>
      <c r="G357" t="inlineStr">
        <is>
          <t>MUNKEDAL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30555-2023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45111</v>
      </c>
      <c r="E358" s="1" t="n">
        <v>46228</v>
      </c>
      <c r="F358" t="inlineStr">
        <is>
          <t>VÄSTRA GÖTALANDS LÄN</t>
        </is>
      </c>
      <c r="G358" t="inlineStr">
        <is>
          <t>MUNKEDAL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53888-2023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45231</v>
      </c>
      <c r="E359" s="1" t="n">
        <v>46228</v>
      </c>
      <c r="F359" t="inlineStr">
        <is>
          <t>VÄSTRA GÖTALANDS LÄN</t>
        </is>
      </c>
      <c r="G359" t="inlineStr">
        <is>
          <t>MUNKEDAL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4259-2022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44588</v>
      </c>
      <c r="E360" s="1" t="n">
        <v>46228</v>
      </c>
      <c r="F360" t="inlineStr">
        <is>
          <t>VÄSTRA GÖTALANDS LÄN</t>
        </is>
      </c>
      <c r="G360" t="inlineStr">
        <is>
          <t>MUNKEDAL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45138</v>
      </c>
      <c r="E361" s="1" t="n">
        <v>46228</v>
      </c>
      <c r="F361" t="inlineStr">
        <is>
          <t>VÄSTRA GÖTALANDS LÄN</t>
        </is>
      </c>
      <c r="G361" t="inlineStr">
        <is>
          <t>MUNKEDAL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67233-2021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44523</v>
      </c>
      <c r="E362" s="1" t="n">
        <v>46228</v>
      </c>
      <c r="F362" t="inlineStr">
        <is>
          <t>VÄSTRA GÖTALANDS LÄN</t>
        </is>
      </c>
      <c r="G362" t="inlineStr">
        <is>
          <t>MUNKEDAL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24185-2023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46228</v>
      </c>
      <c r="F363" t="inlineStr">
        <is>
          <t>VÄSTRA GÖTALANDS LÄN</t>
        </is>
      </c>
      <c r="G363" t="inlineStr">
        <is>
          <t>MUNKEDAL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45700</v>
      </c>
      <c r="E364" s="1" t="n">
        <v>46228</v>
      </c>
      <c r="F364" t="inlineStr">
        <is>
          <t>VÄSTRA GÖTALANDS LÄN</t>
        </is>
      </c>
      <c r="G364" t="inlineStr">
        <is>
          <t>MUNKEDAL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45296</v>
      </c>
      <c r="E365" s="1" t="n">
        <v>46228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Kyrkan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45093</v>
      </c>
      <c r="E366" s="1" t="n">
        <v>46228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Kyrkan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44620-2021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44436</v>
      </c>
      <c r="E367" s="1" t="n">
        <v>46228</v>
      </c>
      <c r="F367" t="inlineStr">
        <is>
          <t>VÄSTRA GÖTALANDS LÄN</t>
        </is>
      </c>
      <c r="G367" t="inlineStr">
        <is>
          <t>MUNKEDAL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49218-2022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44861</v>
      </c>
      <c r="E368" s="1" t="n">
        <v>46228</v>
      </c>
      <c r="F368" t="inlineStr">
        <is>
          <t>VÄSTRA GÖTALANDS LÄN</t>
        </is>
      </c>
      <c r="G368" t="inlineStr">
        <is>
          <t>MUNKEDAL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9021-2024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45356</v>
      </c>
      <c r="E369" s="1" t="n">
        <v>46228</v>
      </c>
      <c r="F369" t="inlineStr">
        <is>
          <t>VÄSTRA GÖTALANDS LÄN</t>
        </is>
      </c>
      <c r="G369" t="inlineStr">
        <is>
          <t>MUNKEDAL</t>
        </is>
      </c>
      <c r="H369" t="inlineStr">
        <is>
          <t>Övriga Aktiebolag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11262-2024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45371</v>
      </c>
      <c r="E370" s="1" t="n">
        <v>46228</v>
      </c>
      <c r="F370" t="inlineStr">
        <is>
          <t>VÄSTRA GÖTALANDS LÄN</t>
        </is>
      </c>
      <c r="G370" t="inlineStr">
        <is>
          <t>MUNKEDAL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17678-2024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45418</v>
      </c>
      <c r="E371" s="1" t="n">
        <v>46228</v>
      </c>
      <c r="F371" t="inlineStr">
        <is>
          <t>VÄSTRA GÖTALANDS LÄN</t>
        </is>
      </c>
      <c r="G371" t="inlineStr">
        <is>
          <t>MUNKEDAL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21125-2022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44704</v>
      </c>
      <c r="E372" s="1" t="n">
        <v>46228</v>
      </c>
      <c r="F372" t="inlineStr">
        <is>
          <t>VÄSTRA GÖTALANDS LÄN</t>
        </is>
      </c>
      <c r="G372" t="inlineStr">
        <is>
          <t>MUNKEDAL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45489</v>
      </c>
      <c r="E373" s="1" t="n">
        <v>46228</v>
      </c>
      <c r="F373" t="inlineStr">
        <is>
          <t>VÄSTRA GÖTALANDS LÄN</t>
        </is>
      </c>
      <c r="G373" t="inlineStr">
        <is>
          <t>MUNKEDAL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32300-2023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45120</v>
      </c>
      <c r="E374" s="1" t="n">
        <v>46228</v>
      </c>
      <c r="F374" t="inlineStr">
        <is>
          <t>VÄSTRA GÖTALANDS LÄN</t>
        </is>
      </c>
      <c r="G374" t="inlineStr">
        <is>
          <t>MUNKEDAL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46434-2024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45582</v>
      </c>
      <c r="E375" s="1" t="n">
        <v>46228</v>
      </c>
      <c r="F375" t="inlineStr">
        <is>
          <t>VÄSTRA GÖTALANDS LÄN</t>
        </is>
      </c>
      <c r="G375" t="inlineStr">
        <is>
          <t>MUNKEDAL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21086-2025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45777</v>
      </c>
      <c r="E376" s="1" t="n">
        <v>46228</v>
      </c>
      <c r="F376" t="inlineStr">
        <is>
          <t>VÄSTRA GÖTALANDS LÄN</t>
        </is>
      </c>
      <c r="G376" t="inlineStr">
        <is>
          <t>MUNKEDAL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53255-2024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45614</v>
      </c>
      <c r="E377" s="1" t="n">
        <v>46228</v>
      </c>
      <c r="F377" t="inlineStr">
        <is>
          <t>VÄSTRA GÖTALANDS LÄN</t>
        </is>
      </c>
      <c r="G377" t="inlineStr">
        <is>
          <t>MUNKEDAL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21063-2025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45777</v>
      </c>
      <c r="E378" s="1" t="n">
        <v>46228</v>
      </c>
      <c r="F378" t="inlineStr">
        <is>
          <t>VÄSTRA GÖTALANDS LÄN</t>
        </is>
      </c>
      <c r="G378" t="inlineStr">
        <is>
          <t>MUNKEDAL</t>
        </is>
      </c>
      <c r="I378" t="n">
        <v>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45778</v>
      </c>
      <c r="E379" s="1" t="n">
        <v>46228</v>
      </c>
      <c r="F379" t="inlineStr">
        <is>
          <t>VÄSTRA GÖTALANDS LÄN</t>
        </is>
      </c>
      <c r="G379" t="inlineStr">
        <is>
          <t>MUNKEDAL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45778</v>
      </c>
      <c r="E380" s="1" t="n">
        <v>46228</v>
      </c>
      <c r="F380" t="inlineStr">
        <is>
          <t>VÄSTRA GÖTALANDS LÄN</t>
        </is>
      </c>
      <c r="G380" t="inlineStr">
        <is>
          <t>MUNKEDAL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45784</v>
      </c>
      <c r="E381" s="1" t="n">
        <v>46228</v>
      </c>
      <c r="F381" t="inlineStr">
        <is>
          <t>VÄSTRA GÖTALANDS LÄN</t>
        </is>
      </c>
      <c r="G381" t="inlineStr">
        <is>
          <t>MUNKEDAL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45784</v>
      </c>
      <c r="E382" s="1" t="n">
        <v>46228</v>
      </c>
      <c r="F382" t="inlineStr">
        <is>
          <t>VÄSTRA GÖTALANDS LÄN</t>
        </is>
      </c>
      <c r="G382" t="inlineStr">
        <is>
          <t>MUNKEDAL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45720</v>
      </c>
      <c r="E383" s="1" t="n">
        <v>46228</v>
      </c>
      <c r="F383" t="inlineStr">
        <is>
          <t>VÄSTRA GÖTALANDS LÄN</t>
        </is>
      </c>
      <c r="G383" t="inlineStr">
        <is>
          <t>MUNKEDAL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10633-2025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45721</v>
      </c>
      <c r="E384" s="1" t="n">
        <v>46228</v>
      </c>
      <c r="F384" t="inlineStr">
        <is>
          <t>VÄSTRA GÖTALANDS LÄN</t>
        </is>
      </c>
      <c r="G384" t="inlineStr">
        <is>
          <t>MUNKEDAL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14107-2025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46228</v>
      </c>
      <c r="F385" t="inlineStr">
        <is>
          <t>VÄSTRA GÖTALANDS LÄN</t>
        </is>
      </c>
      <c r="G385" t="inlineStr">
        <is>
          <t>MUNKEDAL</t>
        </is>
      </c>
      <c r="I385" t="n">
        <v>13.8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16650-2024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45408</v>
      </c>
      <c r="E386" s="1" t="n">
        <v>46228</v>
      </c>
      <c r="F386" t="inlineStr">
        <is>
          <t>VÄSTRA GÖTALANDS LÄN</t>
        </is>
      </c>
      <c r="G386" t="inlineStr">
        <is>
          <t>MUNKEDAL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46228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Övriga Aktiebolag</t>
        </is>
      </c>
      <c r="I387" t="n">
        <v>26.5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14327-2025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45740</v>
      </c>
      <c r="E388" s="1" t="n">
        <v>46228</v>
      </c>
      <c r="F388" t="inlineStr">
        <is>
          <t>VÄSTRA GÖTALANDS LÄN</t>
        </is>
      </c>
      <c r="G388" t="inlineStr">
        <is>
          <t>MUNKEDAL</t>
        </is>
      </c>
      <c r="I388" t="n">
        <v>12.7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23527-2025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45792</v>
      </c>
      <c r="E389" s="1" t="n">
        <v>46228</v>
      </c>
      <c r="F389" t="inlineStr">
        <is>
          <t>VÄSTRA GÖTALANDS LÄN</t>
        </is>
      </c>
      <c r="G389" t="inlineStr">
        <is>
          <t>MUNKEDAL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24396-2025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45797</v>
      </c>
      <c r="E390" s="1" t="n">
        <v>46228</v>
      </c>
      <c r="F390" t="inlineStr">
        <is>
          <t>VÄSTRA GÖTALANDS LÄN</t>
        </is>
      </c>
      <c r="G390" t="inlineStr">
        <is>
          <t>MUNKEDAL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46228</v>
      </c>
      <c r="F391" t="inlineStr">
        <is>
          <t>VÄSTRA GÖTALANDS LÄN</t>
        </is>
      </c>
      <c r="G391" t="inlineStr">
        <is>
          <t>MUNKEDAL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6222-2025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45696</v>
      </c>
      <c r="E392" s="1" t="n">
        <v>46228</v>
      </c>
      <c r="F392" t="inlineStr">
        <is>
          <t>VÄSTRA GÖTALANDS LÄN</t>
        </is>
      </c>
      <c r="G392" t="inlineStr">
        <is>
          <t>MUNKEDAL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46228</v>
      </c>
      <c r="F393" t="inlineStr">
        <is>
          <t>VÄSTRA GÖTALANDS LÄN</t>
        </is>
      </c>
      <c r="G393" t="inlineStr">
        <is>
          <t>MUNKEDAL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44482-2023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45189</v>
      </c>
      <c r="E394" s="1" t="n">
        <v>46228</v>
      </c>
      <c r="F394" t="inlineStr">
        <is>
          <t>VÄSTRA GÖTALANDS LÄN</t>
        </is>
      </c>
      <c r="G394" t="inlineStr">
        <is>
          <t>MUNKEDAL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51411-2022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44866</v>
      </c>
      <c r="E395" s="1" t="n">
        <v>46228</v>
      </c>
      <c r="F395" t="inlineStr">
        <is>
          <t>VÄSTRA GÖTALANDS LÄN</t>
        </is>
      </c>
      <c r="G395" t="inlineStr">
        <is>
          <t>MUNKEDAL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25406-2025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45800</v>
      </c>
      <c r="E396" s="1" t="n">
        <v>46228</v>
      </c>
      <c r="F396" t="inlineStr">
        <is>
          <t>VÄSTRA GÖTALANDS LÄN</t>
        </is>
      </c>
      <c r="G396" t="inlineStr">
        <is>
          <t>MUNKEDAL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25607-2025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45803</v>
      </c>
      <c r="E397" s="1" t="n">
        <v>46228</v>
      </c>
      <c r="F397" t="inlineStr">
        <is>
          <t>VÄSTRA GÖTALANDS LÄN</t>
        </is>
      </c>
      <c r="G397" t="inlineStr">
        <is>
          <t>MUNKEDAL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19631-2022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44694</v>
      </c>
      <c r="E398" s="1" t="n">
        <v>46228</v>
      </c>
      <c r="F398" t="inlineStr">
        <is>
          <t>VÄSTRA GÖTALANDS LÄN</t>
        </is>
      </c>
      <c r="G398" t="inlineStr">
        <is>
          <t>MUNKEDAL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56867-2024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45625</v>
      </c>
      <c r="E399" s="1" t="n">
        <v>46228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Kyrkan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40647-2024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45557</v>
      </c>
      <c r="E400" s="1" t="n">
        <v>46228</v>
      </c>
      <c r="F400" t="inlineStr">
        <is>
          <t>VÄSTRA GÖTALANDS LÄN</t>
        </is>
      </c>
      <c r="G400" t="inlineStr">
        <is>
          <t>MUNKEDAL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29305-2025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45824</v>
      </c>
      <c r="E401" s="1" t="n">
        <v>46228</v>
      </c>
      <c r="F401" t="inlineStr">
        <is>
          <t>VÄSTRA GÖTALANDS LÄN</t>
        </is>
      </c>
      <c r="G401" t="inlineStr">
        <is>
          <t>MUNKEDAL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45826</v>
      </c>
      <c r="E402" s="1" t="n">
        <v>46228</v>
      </c>
      <c r="F402" t="inlineStr">
        <is>
          <t>VÄSTRA GÖTALANDS LÄN</t>
        </is>
      </c>
      <c r="G402" t="inlineStr">
        <is>
          <t>MUNKEDAL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30614-2025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46228</v>
      </c>
      <c r="F403" t="inlineStr">
        <is>
          <t>VÄSTRA GÖTALANDS LÄN</t>
        </is>
      </c>
      <c r="G403" t="inlineStr">
        <is>
          <t>MUNKEDAL</t>
        </is>
      </c>
      <c r="I403" t="n">
        <v>6.1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31176-2025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46228</v>
      </c>
      <c r="F404" t="inlineStr">
        <is>
          <t>VÄSTRA GÖTALANDS LÄN</t>
        </is>
      </c>
      <c r="G404" t="inlineStr">
        <is>
          <t>MUNKEDAL</t>
        </is>
      </c>
      <c r="H404" t="inlineStr">
        <is>
          <t>Övriga Aktiebolag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34083-2025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45845</v>
      </c>
      <c r="E405" s="1" t="n">
        <v>46228</v>
      </c>
      <c r="F405" t="inlineStr">
        <is>
          <t>VÄSTRA GÖTALANDS LÄN</t>
        </is>
      </c>
      <c r="G405" t="inlineStr">
        <is>
          <t>MUNKEDAL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34080-2025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45845</v>
      </c>
      <c r="E406" s="1" t="n">
        <v>46228</v>
      </c>
      <c r="F406" t="inlineStr">
        <is>
          <t>VÄSTRA GÖTALANDS LÄN</t>
        </is>
      </c>
      <c r="G406" t="inlineStr">
        <is>
          <t>MUNKEDAL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58325-2024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45632</v>
      </c>
      <c r="E407" s="1" t="n">
        <v>46228</v>
      </c>
      <c r="F407" t="inlineStr">
        <is>
          <t>VÄSTRA GÖTALANDS LÄN</t>
        </is>
      </c>
      <c r="G407" t="inlineStr">
        <is>
          <t>MUNKEDAL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34624-2025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45847</v>
      </c>
      <c r="E408" s="1" t="n">
        <v>46228</v>
      </c>
      <c r="F408" t="inlineStr">
        <is>
          <t>VÄSTRA GÖTALANDS LÄN</t>
        </is>
      </c>
      <c r="G408" t="inlineStr">
        <is>
          <t>MUNKEDAL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45849</v>
      </c>
      <c r="E409" s="1" t="n">
        <v>46228</v>
      </c>
      <c r="F409" t="inlineStr">
        <is>
          <t>VÄSTRA GÖTALANDS LÄN</t>
        </is>
      </c>
      <c r="G409" t="inlineStr">
        <is>
          <t>MUNKEDAL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16968-2025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45755</v>
      </c>
      <c r="E410" s="1" t="n">
        <v>46228</v>
      </c>
      <c r="F410" t="inlineStr">
        <is>
          <t>VÄSTRA GÖTALANDS LÄN</t>
        </is>
      </c>
      <c r="G410" t="inlineStr">
        <is>
          <t>MUNKEDAL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2558-2022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44697</v>
      </c>
      <c r="E411" s="1" t="n">
        <v>46228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12.5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2428-2024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45469</v>
      </c>
      <c r="E412" s="1" t="n">
        <v>46228</v>
      </c>
      <c r="F412" t="inlineStr">
        <is>
          <t>VÄSTRA GÖTALANDS LÄN</t>
        </is>
      </c>
      <c r="G412" t="inlineStr">
        <is>
          <t>MUNKEDAL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4047-2023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45240</v>
      </c>
      <c r="E413" s="1" t="n">
        <v>46228</v>
      </c>
      <c r="F413" t="inlineStr">
        <is>
          <t>VÄSTRA GÖTALANDS LÄN</t>
        </is>
      </c>
      <c r="G413" t="inlineStr">
        <is>
          <t>MUNKEDAL</t>
        </is>
      </c>
      <c r="I413" t="n">
        <v>17.1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1070-2025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45749</v>
      </c>
      <c r="E414" s="1" t="n">
        <v>46228</v>
      </c>
      <c r="F414" t="inlineStr">
        <is>
          <t>VÄSTRA GÖTALANDS LÄN</t>
        </is>
      </c>
      <c r="G414" t="inlineStr">
        <is>
          <t>MUNKEDAL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1617-2025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45799</v>
      </c>
      <c r="E415" s="1" t="n">
        <v>46228</v>
      </c>
      <c r="F415" t="inlineStr">
        <is>
          <t>VÄSTRA GÖTALANDS LÄN</t>
        </is>
      </c>
      <c r="G415" t="inlineStr">
        <is>
          <t>MUNKEDAL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2026-07-25T01:50:48Z</dcterms:created>
  <dcterms:modified xmlns:dcterms="http://purl.org/dc/terms/" xmlns:xsi="http://www.w3.org/2001/XMLSchema-instance" xsi:type="dcterms:W3CDTF">2026-07-25T01:50:49Z</dcterms:modified>
</cp:coreProperties>
</file>