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46252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46252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46252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46252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46252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46252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46252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46252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46252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46252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16618-2022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44672</v>
      </c>
      <c r="E21" s="1" t="n">
        <v>46252</v>
      </c>
      <c r="F21" t="inlineStr">
        <is>
          <t>VÄSTRA GÖTALANDS LÄN</t>
        </is>
      </c>
      <c r="G21" t="inlineStr">
        <is>
          <t>MUNKEDAL</t>
        </is>
      </c>
      <c r="I21" t="n">
        <v>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Vanlig padda</t>
        </is>
      </c>
      <c r="W21">
        <f>HYPERLINK("https://klasma.github.io/Logging_1430/artfynd/A 16618-2022 artfynd.xlsx", "A 16618-2022")</f>
        <v/>
      </c>
      <c r="X21">
        <f>HYPERLINK("https://klasma.github.io/Logging_1430/kartor/A 16618-2022 karta.png", "A 16618-2022")</f>
        <v/>
      </c>
      <c r="Y21">
        <f>HYPERLINK("https://klasma.github.io/Logging_1430/kartor_geotiff/A 16618-2022 georefererad karta.tif", "A 16618-2022")</f>
        <v/>
      </c>
      <c r="AA21">
        <f>HYPERLINK("https://klasma.github.io/Logging_1430/klagomål/A 16618-2022 FSC-klagomål.docx", "A 16618-2022")</f>
        <v/>
      </c>
      <c r="AB21">
        <f>HYPERLINK("https://klasma.github.io/Logging_1430/klagomålsmail/A 16618-2022 FSC-klagomål mail.docx", "A 16618-2022")</f>
        <v/>
      </c>
      <c r="AC21">
        <f>HYPERLINK("https://klasma.github.io/Logging_1430/tillsyn/A 16618-2022 tillsynsbegäran.docx", "A 16618-2022")</f>
        <v/>
      </c>
      <c r="AD21">
        <f>HYPERLINK("https://klasma.github.io/Logging_1430/tillsynsmail/A 16618-2022 tillsynsbegäran mail.docx", "A 16618-2022")</f>
        <v/>
      </c>
    </row>
    <row r="22" ht="15" customHeight="1">
      <c r="A22" t="inlineStr">
        <is>
          <t>A 2555-2023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46252</v>
      </c>
      <c r="F22" t="inlineStr">
        <is>
          <t>VÄSTRA GÖTALANDS LÄN</t>
        </is>
      </c>
      <c r="G22" t="inlineStr">
        <is>
          <t>MUNKEDAL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HYPERLINK("https://klasma.github.io/Logging_1430/artfynd/A 2555-2023 artfynd.xlsx", "A 2555-2023")</f>
        <v/>
      </c>
      <c r="X22">
        <f>HYPERLINK("https://klasma.github.io/Logging_1430/kartor/A 2555-2023 karta.png", "A 2555-2023")</f>
        <v/>
      </c>
      <c r="Y22">
        <f>HYPERLINK("https://klasma.github.io/Logging_1430/kartor_geotiff/A 2555-2023 georefererad karta.tif", "A 2555-2023")</f>
        <v/>
      </c>
      <c r="AA22">
        <f>HYPERLINK("https://klasma.github.io/Logging_1430/klagomål/A 2555-2023 FSC-klagomål.docx", "A 2555-2023")</f>
        <v/>
      </c>
      <c r="AB22">
        <f>HYPERLINK("https://klasma.github.io/Logging_1430/klagomålsmail/A 2555-2023 FSC-klagomål mail.docx", "A 2555-2023")</f>
        <v/>
      </c>
      <c r="AC22">
        <f>HYPERLINK("https://klasma.github.io/Logging_1430/tillsyn/A 2555-2023 tillsynsbegäran.docx", "A 2555-2023")</f>
        <v/>
      </c>
      <c r="AD22">
        <f>HYPERLINK("https://klasma.github.io/Logging_1430/tillsynsmail/A 2555-2023 tillsynsbegäran mail.docx", "A 2555-2023")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46252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HYPERLINK("https://klasma.github.io/Logging_1430/artfynd/A 51398-2025 artfynd.xlsx", "A 51398-2025")</f>
        <v/>
      </c>
      <c r="X23">
        <f>HYPERLINK("https://klasma.github.io/Logging_1430/kartor/A 51398-2025 karta.png", "A 51398-2025")</f>
        <v/>
      </c>
      <c r="Y23">
        <f>HYPERLINK("https://klasma.github.io/Logging_1430/kartor_geotiff/A 51398-2025 georefererad karta.tif", "A 51398-2025")</f>
        <v/>
      </c>
      <c r="AA23">
        <f>HYPERLINK("https://klasma.github.io/Logging_1430/klagomål/A 51398-2025 FSC-klagomål.docx", "A 51398-2025")</f>
        <v/>
      </c>
      <c r="AB23">
        <f>HYPERLINK("https://klasma.github.io/Logging_1430/klagomålsmail/A 51398-2025 FSC-klagomål mail.docx", "A 51398-2025")</f>
        <v/>
      </c>
      <c r="AC23">
        <f>HYPERLINK("https://klasma.github.io/Logging_1430/tillsyn/A 51398-2025 tillsynsbegäran.docx", "A 51398-2025")</f>
        <v/>
      </c>
      <c r="AD23">
        <f>HYPERLINK("https://klasma.github.io/Logging_1430/tillsynsmail/A 51398-2025 tillsynsbegäran mail.docx", "A 51398-2025")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46252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46252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46252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Jaktfalk</t>
        </is>
      </c>
      <c r="W26">
        <f>HYPERLINK("https://klasma.github.io/Logging_1430/artfynd/A 36912-2023 artfynd.xlsx", "A 36912-2023")</f>
        <v/>
      </c>
      <c r="X26">
        <f>HYPERLINK("https://klasma.github.io/Logging_1430/kartor/A 36912-2023 karta.png", "A 36912-2023")</f>
        <v/>
      </c>
      <c r="Y26">
        <f>HYPERLINK("https://klasma.github.io/Logging_1430/kartor_geotiff/A 36912-2023 georefererad karta.tif", "A 36912-2023")</f>
        <v/>
      </c>
      <c r="AA26">
        <f>HYPERLINK("https://klasma.github.io/Logging_1430/klagomål/A 36912-2023 FSC-klagomål.docx", "A 36912-2023")</f>
        <v/>
      </c>
      <c r="AB26">
        <f>HYPERLINK("https://klasma.github.io/Logging_1430/klagomålsmail/A 36912-2023 FSC-klagomål mail.docx", "A 36912-2023")</f>
        <v/>
      </c>
      <c r="AC26">
        <f>HYPERLINK("https://klasma.github.io/Logging_1430/tillsyn/A 36912-2023 tillsynsbegäran.docx", "A 36912-2023")</f>
        <v/>
      </c>
      <c r="AD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46252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20258-2022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44698</v>
      </c>
      <c r="E28" s="1" t="n">
        <v>46252</v>
      </c>
      <c r="F28" t="inlineStr">
        <is>
          <t>VÄSTRA GÖTALANDS LÄN</t>
        </is>
      </c>
      <c r="G28" t="inlineStr">
        <is>
          <t>MUNKEDAL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Honungsvaxing</t>
        </is>
      </c>
      <c r="W28">
        <f>HYPERLINK("https://klasma.github.io/Logging_1430/artfynd/A 20258-2022 artfynd.xlsx", "A 20258-2022")</f>
        <v/>
      </c>
      <c r="X28">
        <f>HYPERLINK("https://klasma.github.io/Logging_1430/kartor/A 20258-2022 karta.png", "A 20258-2022")</f>
        <v/>
      </c>
      <c r="Y28">
        <f>HYPERLINK("https://klasma.github.io/Logging_1430/kartor_geotiff/A 20258-2022 georefererad karta.tif", "A 20258-2022")</f>
        <v/>
      </c>
      <c r="AA28">
        <f>HYPERLINK("https://klasma.github.io/Logging_1430/klagomål/A 20258-2022 FSC-klagomål.docx", "A 20258-2022")</f>
        <v/>
      </c>
      <c r="AB28">
        <f>HYPERLINK("https://klasma.github.io/Logging_1430/klagomålsmail/A 20258-2022 FSC-klagomål mail.docx", "A 20258-2022")</f>
        <v/>
      </c>
      <c r="AC28">
        <f>HYPERLINK("https://klasma.github.io/Logging_1430/tillsyn/A 20258-2022 tillsynsbegäran.docx", "A 20258-2022")</f>
        <v/>
      </c>
      <c r="AD28">
        <f>HYPERLINK("https://klasma.github.io/Logging_1430/tillsynsmail/A 20258-2022 tillsynsbegäran mail.docx", "A 20258-2022")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46252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46252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22963-2026 artfynd.xlsx", "A 22963-2026")</f>
        <v/>
      </c>
      <c r="X30">
        <f>HYPERLINK("https://klasma.github.io/Logging_1430/kartor/A 22963-2026 karta.png", "A 22963-2026")</f>
        <v/>
      </c>
      <c r="Y30">
        <f>HYPERLINK("https://klasma.github.io/Logging_1430/kartor_geotiff/A 22963-2026 georefererad karta.tif", "A 22963-2026")</f>
        <v/>
      </c>
      <c r="AA30">
        <f>HYPERLINK("https://klasma.github.io/Logging_1430/klagomål/A 22963-2026 FSC-klagomål.docx", "A 22963-2026")</f>
        <v/>
      </c>
      <c r="AB30">
        <f>HYPERLINK("https://klasma.github.io/Logging_1430/klagomålsmail/A 22963-2026 FSC-klagomål mail.docx", "A 22963-2026")</f>
        <v/>
      </c>
      <c r="AC30">
        <f>HYPERLINK("https://klasma.github.io/Logging_1430/tillsyn/A 22963-2026 tillsynsbegäran.docx", "A 22963-2026")</f>
        <v/>
      </c>
      <c r="AD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46252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46252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46252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46252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46252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46252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46252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46252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46252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46252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46252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46252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46252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46252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46252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46252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46252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46252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46252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46252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46252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46252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46252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46252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46252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46252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45557</v>
      </c>
      <c r="E57" s="1" t="n">
        <v>46252</v>
      </c>
      <c r="F57" t="inlineStr">
        <is>
          <t>VÄSTRA GÖTALANDS LÄN</t>
        </is>
      </c>
      <c r="G57" t="inlineStr">
        <is>
          <t>MUNKEDAL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50336-2021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46252</v>
      </c>
      <c r="F58" t="inlineStr">
        <is>
          <t>VÄSTRA GÖTALANDS LÄN</t>
        </is>
      </c>
      <c r="G58" t="inlineStr">
        <is>
          <t>MUNKEDAL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46252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46252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46252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44609</v>
      </c>
      <c r="E62" s="1" t="n">
        <v>46252</v>
      </c>
      <c r="F62" t="inlineStr">
        <is>
          <t>VÄSTRA GÖTALANDS LÄN</t>
        </is>
      </c>
      <c r="G62" t="inlineStr">
        <is>
          <t>MUNKEDAL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46252</v>
      </c>
      <c r="F63" t="inlineStr">
        <is>
          <t>VÄSTRA GÖTALANDS LÄN</t>
        </is>
      </c>
      <c r="G63" t="inlineStr">
        <is>
          <t>MUNKEDAL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46252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45826</v>
      </c>
      <c r="E65" s="1" t="n">
        <v>46252</v>
      </c>
      <c r="F65" t="inlineStr">
        <is>
          <t>VÄSTRA GÖTALANDS LÄN</t>
        </is>
      </c>
      <c r="G65" t="inlineStr">
        <is>
          <t>MUNKEDAL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38592-2025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45884</v>
      </c>
      <c r="E66" s="1" t="n">
        <v>46252</v>
      </c>
      <c r="F66" t="inlineStr">
        <is>
          <t>VÄSTRA GÖTALANDS LÄN</t>
        </is>
      </c>
      <c r="G66" t="inlineStr">
        <is>
          <t>MUNKEDAL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45636</v>
      </c>
      <c r="E67" s="1" t="n">
        <v>46252</v>
      </c>
      <c r="F67" t="inlineStr">
        <is>
          <t>VÄSTRA GÖTALANDS LÄN</t>
        </is>
      </c>
      <c r="G67" t="inlineStr">
        <is>
          <t>MUNKEDAL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46252</v>
      </c>
      <c r="F68" t="inlineStr">
        <is>
          <t>VÄSTRA GÖTALANDS LÄN</t>
        </is>
      </c>
      <c r="G68" t="inlineStr">
        <is>
          <t>MUNKEDAL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19887-2022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44697</v>
      </c>
      <c r="E69" s="1" t="n">
        <v>46252</v>
      </c>
      <c r="F69" t="inlineStr">
        <is>
          <t>VÄSTRA GÖTALANDS LÄN</t>
        </is>
      </c>
      <c r="G69" t="inlineStr">
        <is>
          <t>MUNKEDAL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46252</v>
      </c>
      <c r="F70" t="inlineStr">
        <is>
          <t>VÄSTRA GÖTALANDS LÄN</t>
        </is>
      </c>
      <c r="G70" t="inlineStr">
        <is>
          <t>MUNKEDAL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44749</v>
      </c>
      <c r="E71" s="1" t="n">
        <v>46252</v>
      </c>
      <c r="F71" t="inlineStr">
        <is>
          <t>VÄSTRA GÖTALANDS LÄN</t>
        </is>
      </c>
      <c r="G71" t="inlineStr">
        <is>
          <t>MUNKEDAL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26076-2025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46252</v>
      </c>
      <c r="F72" t="inlineStr">
        <is>
          <t>VÄSTRA GÖTALANDS LÄN</t>
        </is>
      </c>
      <c r="G72" t="inlineStr">
        <is>
          <t>MUNKEDAL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45887</v>
      </c>
      <c r="E73" s="1" t="n">
        <v>46252</v>
      </c>
      <c r="F73" t="inlineStr">
        <is>
          <t>VÄSTRA GÖTALANDS LÄN</t>
        </is>
      </c>
      <c r="G73" t="inlineStr">
        <is>
          <t>MUNKEDAL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49912-2023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45214</v>
      </c>
      <c r="E74" s="1" t="n">
        <v>46252</v>
      </c>
      <c r="F74" t="inlineStr">
        <is>
          <t>VÄSTRA GÖTALANDS LÄN</t>
        </is>
      </c>
      <c r="G74" t="inlineStr">
        <is>
          <t>MUNKEDAL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45147</v>
      </c>
      <c r="E75" s="1" t="n">
        <v>46252</v>
      </c>
      <c r="F75" t="inlineStr">
        <is>
          <t>VÄSTRA GÖTALANDS LÄN</t>
        </is>
      </c>
      <c r="G75" t="inlineStr">
        <is>
          <t>MUNKEDAL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44929</v>
      </c>
      <c r="E76" s="1" t="n">
        <v>46252</v>
      </c>
      <c r="F76" t="inlineStr">
        <is>
          <t>VÄSTRA GÖTALANDS LÄN</t>
        </is>
      </c>
      <c r="G76" t="inlineStr">
        <is>
          <t>MUNKEDAL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46252</v>
      </c>
      <c r="F77" t="inlineStr">
        <is>
          <t>VÄSTRA GÖTALANDS LÄN</t>
        </is>
      </c>
      <c r="G77" t="inlineStr">
        <is>
          <t>MUNKEDAL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46252</v>
      </c>
      <c r="F78" t="inlineStr">
        <is>
          <t>VÄSTRA GÖTALANDS LÄN</t>
        </is>
      </c>
      <c r="G78" t="inlineStr">
        <is>
          <t>MUNKEDAL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3708-2024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46252</v>
      </c>
      <c r="F79" t="inlineStr">
        <is>
          <t>VÄSTRA GÖTALANDS LÄN</t>
        </is>
      </c>
      <c r="G79" t="inlineStr">
        <is>
          <t>MUNKEDAL</t>
        </is>
      </c>
      <c r="I79" t="n">
        <v>20.2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40431-2025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46252</v>
      </c>
      <c r="F80" t="inlineStr">
        <is>
          <t>VÄSTRA GÖTALANDS LÄN</t>
        </is>
      </c>
      <c r="G80" t="inlineStr">
        <is>
          <t>MUNKEDAL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46252</v>
      </c>
      <c r="F81" t="inlineStr">
        <is>
          <t>VÄSTRA GÖTALANDS LÄN</t>
        </is>
      </c>
      <c r="G81" t="inlineStr">
        <is>
          <t>MUNKEDAL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46252</v>
      </c>
      <c r="F82" t="inlineStr">
        <is>
          <t>VÄSTRA GÖTALANDS LÄN</t>
        </is>
      </c>
      <c r="G82" t="inlineStr">
        <is>
          <t>MUNKEDAL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46252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Naturvårdsverket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45488</v>
      </c>
      <c r="E84" s="1" t="n">
        <v>46252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46252</v>
      </c>
      <c r="F85" t="inlineStr">
        <is>
          <t>VÄSTRA GÖTALANDS LÄN</t>
        </is>
      </c>
      <c r="G85" t="inlineStr">
        <is>
          <t>MUNKEDAL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46252</v>
      </c>
      <c r="F86" t="inlineStr">
        <is>
          <t>VÄSTRA GÖTALANDS LÄN</t>
        </is>
      </c>
      <c r="G86" t="inlineStr">
        <is>
          <t>MUNKEDAL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31176-2025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46252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44748</v>
      </c>
      <c r="E88" s="1" t="n">
        <v>46252</v>
      </c>
      <c r="F88" t="inlineStr">
        <is>
          <t>VÄSTRA GÖTALANDS LÄN</t>
        </is>
      </c>
      <c r="G88" t="inlineStr">
        <is>
          <t>MUNKEDAL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45488</v>
      </c>
      <c r="E89" s="1" t="n">
        <v>46252</v>
      </c>
      <c r="F89" t="inlineStr">
        <is>
          <t>VÄSTRA GÖTALANDS LÄN</t>
        </is>
      </c>
      <c r="G89" t="inlineStr">
        <is>
          <t>MUNKEDAL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45488</v>
      </c>
      <c r="E90" s="1" t="n">
        <v>46252</v>
      </c>
      <c r="F90" t="inlineStr">
        <is>
          <t>VÄSTRA GÖTALANDS LÄN</t>
        </is>
      </c>
      <c r="G90" t="inlineStr">
        <is>
          <t>MUNKEDAL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46252</v>
      </c>
      <c r="F91" t="inlineStr">
        <is>
          <t>VÄSTRA GÖTALANDS LÄN</t>
        </is>
      </c>
      <c r="G91" t="inlineStr">
        <is>
          <t>MUNKEDAL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46252</v>
      </c>
      <c r="F92" t="inlineStr">
        <is>
          <t>VÄSTRA GÖTALANDS LÄN</t>
        </is>
      </c>
      <c r="G92" t="inlineStr">
        <is>
          <t>MUNKEDAL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18159-2025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45761</v>
      </c>
      <c r="E93" s="1" t="n">
        <v>46252</v>
      </c>
      <c r="F93" t="inlineStr">
        <is>
          <t>VÄSTRA GÖTALANDS LÄN</t>
        </is>
      </c>
      <c r="G93" t="inlineStr">
        <is>
          <t>MUNKEDAL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46252</v>
      </c>
      <c r="F94" t="inlineStr">
        <is>
          <t>VÄSTRA GÖTALANDS LÄN</t>
        </is>
      </c>
      <c r="G94" t="inlineStr">
        <is>
          <t>MUNKEDAL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9720-2024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46252</v>
      </c>
      <c r="F95" t="inlineStr">
        <is>
          <t>VÄSTRA GÖTALANDS LÄN</t>
        </is>
      </c>
      <c r="G95" t="inlineStr">
        <is>
          <t>MUNKEDAL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44579</v>
      </c>
      <c r="E96" s="1" t="n">
        <v>46252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Kyrkan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46252</v>
      </c>
      <c r="F97" t="inlineStr">
        <is>
          <t>VÄSTRA GÖTALANDS LÄN</t>
        </is>
      </c>
      <c r="G97" t="inlineStr">
        <is>
          <t>MUNKEDAL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46252</v>
      </c>
      <c r="F98" t="inlineStr">
        <is>
          <t>VÄSTRA GÖTALANDS LÄN</t>
        </is>
      </c>
      <c r="G98" t="inlineStr">
        <is>
          <t>MUNKEDAL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46252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46252</v>
      </c>
      <c r="F100" t="inlineStr">
        <is>
          <t>VÄSTRA GÖTALANDS LÄN</t>
        </is>
      </c>
      <c r="G100" t="inlineStr">
        <is>
          <t>MUNKEDAL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44920</v>
      </c>
      <c r="E101" s="1" t="n">
        <v>46252</v>
      </c>
      <c r="F101" t="inlineStr">
        <is>
          <t>VÄSTRA GÖTALANDS LÄN</t>
        </is>
      </c>
      <c r="G101" t="inlineStr">
        <is>
          <t>MUNKEDAL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44920</v>
      </c>
      <c r="E102" s="1" t="n">
        <v>46252</v>
      </c>
      <c r="F102" t="inlineStr">
        <is>
          <t>VÄSTRA GÖTALANDS LÄN</t>
        </is>
      </c>
      <c r="G102" t="inlineStr">
        <is>
          <t>MUNKEDAL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44984</v>
      </c>
      <c r="E103" s="1" t="n">
        <v>46252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46252</v>
      </c>
      <c r="F104" t="inlineStr">
        <is>
          <t>VÄSTRA GÖTALANDS LÄN</t>
        </is>
      </c>
      <c r="G104" t="inlineStr">
        <is>
          <t>MUNKEDAL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46252</v>
      </c>
      <c r="F105" t="inlineStr">
        <is>
          <t>VÄSTRA GÖTALANDS LÄN</t>
        </is>
      </c>
      <c r="G105" t="inlineStr">
        <is>
          <t>MUNKEDAL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46252</v>
      </c>
      <c r="F106" t="inlineStr">
        <is>
          <t>VÄSTRA GÖTALANDS LÄN</t>
        </is>
      </c>
      <c r="G106" t="inlineStr">
        <is>
          <t>MUNKEDAL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46252</v>
      </c>
      <c r="F107" t="inlineStr">
        <is>
          <t>VÄSTRA GÖTALANDS LÄN</t>
        </is>
      </c>
      <c r="G107" t="inlineStr">
        <is>
          <t>MUNKEDAL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46252</v>
      </c>
      <c r="F108" t="inlineStr">
        <is>
          <t>VÄSTRA GÖTALANDS LÄN</t>
        </is>
      </c>
      <c r="G108" t="inlineStr">
        <is>
          <t>MUNKEDAL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43446-2025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46252</v>
      </c>
      <c r="F109" t="inlineStr">
        <is>
          <t>VÄSTRA GÖTALANDS LÄN</t>
        </is>
      </c>
      <c r="G109" t="inlineStr">
        <is>
          <t>MUNKEDAL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45296</v>
      </c>
      <c r="E110" s="1" t="n">
        <v>46252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46252</v>
      </c>
      <c r="F111" t="inlineStr">
        <is>
          <t>VÄSTRA GÖTALANDS LÄN</t>
        </is>
      </c>
      <c r="G111" t="inlineStr">
        <is>
          <t>MUNKEDAL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44866</v>
      </c>
      <c r="E112" s="1" t="n">
        <v>46252</v>
      </c>
      <c r="F112" t="inlineStr">
        <is>
          <t>VÄSTRA GÖTALANDS LÄN</t>
        </is>
      </c>
      <c r="G112" t="inlineStr">
        <is>
          <t>MUNKEDAL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46252</v>
      </c>
      <c r="F113" t="inlineStr">
        <is>
          <t>VÄSTRA GÖTALANDS LÄN</t>
        </is>
      </c>
      <c r="G113" t="inlineStr">
        <is>
          <t>MUNKEDAL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43834-2025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46252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45097</v>
      </c>
      <c r="E115" s="1" t="n">
        <v>46252</v>
      </c>
      <c r="F115" t="inlineStr">
        <is>
          <t>VÄSTRA GÖTALANDS LÄN</t>
        </is>
      </c>
      <c r="G115" t="inlineStr">
        <is>
          <t>MUNKEDAL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56789-2021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46252</v>
      </c>
      <c r="F116" t="inlineStr">
        <is>
          <t>VÄSTRA GÖTALANDS LÄN</t>
        </is>
      </c>
      <c r="G116" t="inlineStr">
        <is>
          <t>MUNKEDAL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46252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46252</v>
      </c>
      <c r="F118" t="inlineStr">
        <is>
          <t>VÄSTRA GÖTALANDS LÄN</t>
        </is>
      </c>
      <c r="G118" t="inlineStr">
        <is>
          <t>MUNKEDAL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46252</v>
      </c>
      <c r="F119" t="inlineStr">
        <is>
          <t>VÄSTRA GÖTALANDS LÄN</t>
        </is>
      </c>
      <c r="G119" t="inlineStr">
        <is>
          <t>MUNKEDAL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46252</v>
      </c>
      <c r="F120" t="inlineStr">
        <is>
          <t>VÄSTRA GÖTALANDS LÄN</t>
        </is>
      </c>
      <c r="G120" t="inlineStr">
        <is>
          <t>MUNKEDAL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13303-2023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45005</v>
      </c>
      <c r="E121" s="1" t="n">
        <v>46252</v>
      </c>
      <c r="F121" t="inlineStr">
        <is>
          <t>VÄSTRA GÖTALANDS LÄN</t>
        </is>
      </c>
      <c r="G121" t="inlineStr">
        <is>
          <t>MUNKEDAL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46252</v>
      </c>
      <c r="F122" t="inlineStr">
        <is>
          <t>VÄSTRA GÖTALANDS LÄN</t>
        </is>
      </c>
      <c r="G122" t="inlineStr">
        <is>
          <t>MUNKEDAL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45640</v>
      </c>
      <c r="E123" s="1" t="n">
        <v>46252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45921</v>
      </c>
      <c r="E124" s="1" t="n">
        <v>46252</v>
      </c>
      <c r="F124" t="inlineStr">
        <is>
          <t>VÄSTRA GÖTALANDS LÄN</t>
        </is>
      </c>
      <c r="G124" t="inlineStr">
        <is>
          <t>MUNKEDAL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46252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46252</v>
      </c>
      <c r="F126" t="inlineStr">
        <is>
          <t>VÄSTRA GÖTALANDS LÄN</t>
        </is>
      </c>
      <c r="G126" t="inlineStr">
        <is>
          <t>MUNKEDAL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45640</v>
      </c>
      <c r="E127" s="1" t="n">
        <v>46252</v>
      </c>
      <c r="F127" t="inlineStr">
        <is>
          <t>VÄSTRA GÖTALANDS LÄN</t>
        </is>
      </c>
      <c r="G127" t="inlineStr">
        <is>
          <t>MUNKEDAL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46252</v>
      </c>
      <c r="F128" t="inlineStr">
        <is>
          <t>VÄSTRA GÖTALANDS LÄN</t>
        </is>
      </c>
      <c r="G128" t="inlineStr">
        <is>
          <t>MUNKEDAL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46252</v>
      </c>
      <c r="F129" t="inlineStr">
        <is>
          <t>VÄSTRA GÖTALANDS LÄN</t>
        </is>
      </c>
      <c r="G129" t="inlineStr">
        <is>
          <t>MUNKEDAL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46252</v>
      </c>
      <c r="F130" t="inlineStr">
        <is>
          <t>VÄSTRA GÖTALANDS LÄN</t>
        </is>
      </c>
      <c r="G130" t="inlineStr">
        <is>
          <t>MUNKEDAL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46252</v>
      </c>
      <c r="F131" t="inlineStr">
        <is>
          <t>VÄSTRA GÖTALANDS LÄN</t>
        </is>
      </c>
      <c r="G131" t="inlineStr">
        <is>
          <t>MUNKEDAL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45674</v>
      </c>
      <c r="E132" s="1" t="n">
        <v>46252</v>
      </c>
      <c r="F132" t="inlineStr">
        <is>
          <t>VÄSTRA GÖTALANDS LÄN</t>
        </is>
      </c>
      <c r="G132" t="inlineStr">
        <is>
          <t>MUNKEDAL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45755</v>
      </c>
      <c r="E133" s="1" t="n">
        <v>46252</v>
      </c>
      <c r="F133" t="inlineStr">
        <is>
          <t>VÄSTRA GÖTALANDS LÄN</t>
        </is>
      </c>
      <c r="G133" t="inlineStr">
        <is>
          <t>MUNKEDAL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46252</v>
      </c>
      <c r="F134" t="inlineStr">
        <is>
          <t>VÄSTRA GÖTALANDS LÄN</t>
        </is>
      </c>
      <c r="G134" t="inlineStr">
        <is>
          <t>MUNKEDAL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46252</v>
      </c>
      <c r="F135" t="inlineStr">
        <is>
          <t>VÄSTRA GÖTALANDS LÄN</t>
        </is>
      </c>
      <c r="G135" t="inlineStr">
        <is>
          <t>MUNKEDAL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46252</v>
      </c>
      <c r="F136" t="inlineStr">
        <is>
          <t>VÄSTRA GÖTALANDS LÄN</t>
        </is>
      </c>
      <c r="G136" t="inlineStr">
        <is>
          <t>MUNKEDAL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41521-2023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45175</v>
      </c>
      <c r="E137" s="1" t="n">
        <v>46252</v>
      </c>
      <c r="F137" t="inlineStr">
        <is>
          <t>VÄSTRA GÖTALANDS LÄN</t>
        </is>
      </c>
      <c r="G137" t="inlineStr">
        <is>
          <t>MUNKEDAL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60231-2024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45640</v>
      </c>
      <c r="E138" s="1" t="n">
        <v>46252</v>
      </c>
      <c r="F138" t="inlineStr">
        <is>
          <t>VÄSTRA GÖTALANDS LÄN</t>
        </is>
      </c>
      <c r="G138" t="inlineStr">
        <is>
          <t>MUNKEDAL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44747</v>
      </c>
      <c r="E139" s="1" t="n">
        <v>46252</v>
      </c>
      <c r="F139" t="inlineStr">
        <is>
          <t>VÄSTRA GÖTALANDS LÄN</t>
        </is>
      </c>
      <c r="G139" t="inlineStr">
        <is>
          <t>MUNKEDAL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46252</v>
      </c>
      <c r="F140" t="inlineStr">
        <is>
          <t>VÄSTRA GÖTALANDS LÄN</t>
        </is>
      </c>
      <c r="G140" t="inlineStr">
        <is>
          <t>MUNKEDAL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56744-2023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46252</v>
      </c>
      <c r="F141" t="inlineStr">
        <is>
          <t>VÄSTRA GÖTALANDS LÄN</t>
        </is>
      </c>
      <c r="G141" t="inlineStr">
        <is>
          <t>MUNKEDAL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46252</v>
      </c>
      <c r="F142" t="inlineStr">
        <is>
          <t>VÄSTRA GÖTALANDS LÄN</t>
        </is>
      </c>
      <c r="G142" t="inlineStr">
        <is>
          <t>MUNKEDAL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45244</v>
      </c>
      <c r="E143" s="1" t="n">
        <v>46252</v>
      </c>
      <c r="F143" t="inlineStr">
        <is>
          <t>VÄSTRA GÖTALANDS LÄN</t>
        </is>
      </c>
      <c r="G143" t="inlineStr">
        <is>
          <t>MUNKEDAL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46252</v>
      </c>
      <c r="F144" t="inlineStr">
        <is>
          <t>VÄSTRA GÖTALANDS LÄN</t>
        </is>
      </c>
      <c r="G144" t="inlineStr">
        <is>
          <t>MUNKEDAL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46252</v>
      </c>
      <c r="F145" t="inlineStr">
        <is>
          <t>VÄSTRA GÖTALANDS LÄN</t>
        </is>
      </c>
      <c r="G145" t="inlineStr">
        <is>
          <t>MUNKEDAL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46252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18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46252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57619-2024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45630</v>
      </c>
      <c r="E148" s="1" t="n">
        <v>46252</v>
      </c>
      <c r="F148" t="inlineStr">
        <is>
          <t>VÄSTRA GÖTALANDS LÄN</t>
        </is>
      </c>
      <c r="G148" t="inlineStr">
        <is>
          <t>MUNKEDAL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57625-2024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46252</v>
      </c>
      <c r="F149" t="inlineStr">
        <is>
          <t>VÄSTRA GÖTALANDS LÄN</t>
        </is>
      </c>
      <c r="G149" t="inlineStr">
        <is>
          <t>MUNKEDAL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45296</v>
      </c>
      <c r="E150" s="1" t="n">
        <v>46252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46252</v>
      </c>
      <c r="F151" t="inlineStr">
        <is>
          <t>VÄSTRA GÖTALANDS LÄN</t>
        </is>
      </c>
      <c r="G151" t="inlineStr">
        <is>
          <t>MUNKEDAL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46252</v>
      </c>
      <c r="F152" t="inlineStr">
        <is>
          <t>VÄSTRA GÖTALANDS LÄN</t>
        </is>
      </c>
      <c r="G152" t="inlineStr">
        <is>
          <t>MUNKEDAL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46252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46252</v>
      </c>
      <c r="F154" t="inlineStr">
        <is>
          <t>VÄSTRA GÖTALANDS LÄN</t>
        </is>
      </c>
      <c r="G154" t="inlineStr">
        <is>
          <t>MUNKEDAL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53425-2023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46252</v>
      </c>
      <c r="F155" t="inlineStr">
        <is>
          <t>VÄSTRA GÖTALANDS LÄN</t>
        </is>
      </c>
      <c r="G155" t="inlineStr">
        <is>
          <t>MUNKEDAL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46252</v>
      </c>
      <c r="F156" t="inlineStr">
        <is>
          <t>VÄSTRA GÖTALANDS LÄN</t>
        </is>
      </c>
      <c r="G156" t="inlineStr">
        <is>
          <t>MUNKEDAL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46252</v>
      </c>
      <c r="F157" t="inlineStr">
        <is>
          <t>VÄSTRA GÖTALANDS LÄN</t>
        </is>
      </c>
      <c r="G157" t="inlineStr">
        <is>
          <t>MUNKEDAL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45478</v>
      </c>
      <c r="E158" s="1" t="n">
        <v>46252</v>
      </c>
      <c r="F158" t="inlineStr">
        <is>
          <t>VÄSTRA GÖTALANDS LÄN</t>
        </is>
      </c>
      <c r="G158" t="inlineStr">
        <is>
          <t>MUNKEDAL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46252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48754-2025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46252</v>
      </c>
      <c r="F160" t="inlineStr">
        <is>
          <t>VÄSTRA GÖTALANDS LÄN</t>
        </is>
      </c>
      <c r="G160" t="inlineStr">
        <is>
          <t>MUNKEDAL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46252</v>
      </c>
      <c r="F161" t="inlineStr">
        <is>
          <t>VÄSTRA GÖTALANDS LÄN</t>
        </is>
      </c>
      <c r="G161" t="inlineStr">
        <is>
          <t>MUNKEDAL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44755</v>
      </c>
      <c r="E162" s="1" t="n">
        <v>46252</v>
      </c>
      <c r="F162" t="inlineStr">
        <is>
          <t>VÄSTRA GÖTALANDS LÄN</t>
        </is>
      </c>
      <c r="G162" t="inlineStr">
        <is>
          <t>MUNKEDAL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45325</v>
      </c>
      <c r="E163" s="1" t="n">
        <v>46252</v>
      </c>
      <c r="F163" t="inlineStr">
        <is>
          <t>VÄSTRA GÖTALANDS LÄN</t>
        </is>
      </c>
      <c r="G163" t="inlineStr">
        <is>
          <t>MUNKEDAL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56892-2023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45244</v>
      </c>
      <c r="E164" s="1" t="n">
        <v>46252</v>
      </c>
      <c r="F164" t="inlineStr">
        <is>
          <t>VÄSTRA GÖTALANDS LÄN</t>
        </is>
      </c>
      <c r="G164" t="inlineStr">
        <is>
          <t>MUNKEDAL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46252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Kommuner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45351</v>
      </c>
      <c r="E166" s="1" t="n">
        <v>46252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35645-2023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46252</v>
      </c>
      <c r="F167" t="inlineStr">
        <is>
          <t>VÄSTRA GÖTALANDS LÄN</t>
        </is>
      </c>
      <c r="G167" t="inlineStr">
        <is>
          <t>MUNKEDAL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46252</v>
      </c>
      <c r="F168" t="inlineStr">
        <is>
          <t>VÄSTRA GÖTALANDS LÄN</t>
        </is>
      </c>
      <c r="G168" t="inlineStr">
        <is>
          <t>MUNKEDAL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46252</v>
      </c>
      <c r="F169" t="inlineStr">
        <is>
          <t>VÄSTRA GÖTALANDS LÄN</t>
        </is>
      </c>
      <c r="G169" t="inlineStr">
        <is>
          <t>MUNKEDAL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45755</v>
      </c>
      <c r="E170" s="1" t="n">
        <v>46252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46252</v>
      </c>
      <c r="F171" t="inlineStr">
        <is>
          <t>VÄSTRA GÖTALANDS LÄN</t>
        </is>
      </c>
      <c r="G171" t="inlineStr">
        <is>
          <t>MUNKEDAL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45540</v>
      </c>
      <c r="E172" s="1" t="n">
        <v>46252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44467</v>
      </c>
      <c r="E173" s="1" t="n">
        <v>46252</v>
      </c>
      <c r="F173" t="inlineStr">
        <is>
          <t>VÄSTRA GÖTALANDS LÄN</t>
        </is>
      </c>
      <c r="G173" t="inlineStr">
        <is>
          <t>MUNKEDAL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46252</v>
      </c>
      <c r="F174" t="inlineStr">
        <is>
          <t>VÄSTRA GÖTALANDS LÄN</t>
        </is>
      </c>
      <c r="G174" t="inlineStr">
        <is>
          <t>MUNKEDAL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46252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Övriga Aktiebolag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46252</v>
      </c>
      <c r="F176" t="inlineStr">
        <is>
          <t>VÄSTRA GÖTALANDS LÄN</t>
        </is>
      </c>
      <c r="G176" t="inlineStr">
        <is>
          <t>MUNKEDAL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18278-2025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45762</v>
      </c>
      <c r="E177" s="1" t="n">
        <v>46252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46252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46252</v>
      </c>
      <c r="F179" t="inlineStr">
        <is>
          <t>VÄSTRA GÖTALANDS LÄN</t>
        </is>
      </c>
      <c r="G179" t="inlineStr">
        <is>
          <t>MUNKEDAL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46252</v>
      </c>
      <c r="F180" t="inlineStr">
        <is>
          <t>VÄSTRA GÖTALANDS LÄN</t>
        </is>
      </c>
      <c r="G180" t="inlineStr">
        <is>
          <t>MUNKEDAL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46252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8576-2025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45709</v>
      </c>
      <c r="E182" s="1" t="n">
        <v>46252</v>
      </c>
      <c r="F182" t="inlineStr">
        <is>
          <t>VÄSTRA GÖTALANDS LÄN</t>
        </is>
      </c>
      <c r="G182" t="inlineStr">
        <is>
          <t>MUNKEDAL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46252</v>
      </c>
      <c r="F183" t="inlineStr">
        <is>
          <t>VÄSTRA GÖTALANDS LÄN</t>
        </is>
      </c>
      <c r="G183" t="inlineStr">
        <is>
          <t>MUNKEDAL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46252</v>
      </c>
      <c r="F184" t="inlineStr">
        <is>
          <t>VÄSTRA GÖTALANDS LÄN</t>
        </is>
      </c>
      <c r="G184" t="inlineStr">
        <is>
          <t>MUNKEDAL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45881</v>
      </c>
      <c r="E185" s="1" t="n">
        <v>46252</v>
      </c>
      <c r="F185" t="inlineStr">
        <is>
          <t>VÄSTRA GÖTALANDS LÄN</t>
        </is>
      </c>
      <c r="G185" t="inlineStr">
        <is>
          <t>MUNKEDAL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44447</v>
      </c>
      <c r="E186" s="1" t="n">
        <v>46252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21.7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45084</v>
      </c>
      <c r="E187" s="1" t="n">
        <v>46252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46252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Kommuner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46252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46252</v>
      </c>
      <c r="F190" t="inlineStr">
        <is>
          <t>VÄSTRA GÖTALANDS LÄN</t>
        </is>
      </c>
      <c r="G190" t="inlineStr">
        <is>
          <t>MUNKEDAL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46252</v>
      </c>
      <c r="F191" t="inlineStr">
        <is>
          <t>VÄSTRA GÖTALANDS LÄN</t>
        </is>
      </c>
      <c r="G191" t="inlineStr">
        <is>
          <t>MUNKEDAL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46252</v>
      </c>
      <c r="F192" t="inlineStr">
        <is>
          <t>VÄSTRA GÖTALANDS LÄN</t>
        </is>
      </c>
      <c r="G192" t="inlineStr">
        <is>
          <t>MUNKEDAL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46252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44630</v>
      </c>
      <c r="E194" s="1" t="n">
        <v>46252</v>
      </c>
      <c r="F194" t="inlineStr">
        <is>
          <t>VÄSTRA GÖTALANDS LÄN</t>
        </is>
      </c>
      <c r="G194" t="inlineStr">
        <is>
          <t>MUNKEDAL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45145</v>
      </c>
      <c r="E195" s="1" t="n">
        <v>46252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46252</v>
      </c>
      <c r="F196" t="inlineStr">
        <is>
          <t>VÄSTRA GÖTALANDS LÄN</t>
        </is>
      </c>
      <c r="G196" t="inlineStr">
        <is>
          <t>MUNKEDAL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46252</v>
      </c>
      <c r="F197" t="inlineStr">
        <is>
          <t>VÄSTRA GÖTALANDS LÄN</t>
        </is>
      </c>
      <c r="G197" t="inlineStr">
        <is>
          <t>MUNKEDAL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46252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46252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45400</v>
      </c>
      <c r="E200" s="1" t="n">
        <v>46252</v>
      </c>
      <c r="F200" t="inlineStr">
        <is>
          <t>VÄSTRA GÖTALANDS LÄN</t>
        </is>
      </c>
      <c r="G200" t="inlineStr">
        <is>
          <t>MUNKEDAL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45111</v>
      </c>
      <c r="E201" s="1" t="n">
        <v>46252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Naturvårdsverket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46252</v>
      </c>
      <c r="F202" t="inlineStr">
        <is>
          <t>VÄSTRA GÖTALANDS LÄN</t>
        </is>
      </c>
      <c r="G202" t="inlineStr">
        <is>
          <t>MUNKEDAL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45029</v>
      </c>
      <c r="E203" s="1" t="n">
        <v>46252</v>
      </c>
      <c r="F203" t="inlineStr">
        <is>
          <t>VÄSTRA GÖTALANDS LÄN</t>
        </is>
      </c>
      <c r="G203" t="inlineStr">
        <is>
          <t>MUNKEDAL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46252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46252</v>
      </c>
      <c r="F205" t="inlineStr">
        <is>
          <t>VÄSTRA GÖTALANDS LÄN</t>
        </is>
      </c>
      <c r="G205" t="inlineStr">
        <is>
          <t>MUNKEDAL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44984</v>
      </c>
      <c r="E206" s="1" t="n">
        <v>46252</v>
      </c>
      <c r="F206" t="inlineStr">
        <is>
          <t>VÄSTRA GÖTALANDS LÄN</t>
        </is>
      </c>
      <c r="G206" t="inlineStr">
        <is>
          <t>MUNKEDAL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46252</v>
      </c>
      <c r="F207" t="inlineStr">
        <is>
          <t>VÄSTRA GÖTALANDS LÄN</t>
        </is>
      </c>
      <c r="G207" t="inlineStr">
        <is>
          <t>MUNKEDAL</t>
        </is>
      </c>
      <c r="I207" t="n">
        <v>16.3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46252</v>
      </c>
      <c r="F208" t="inlineStr">
        <is>
          <t>VÄSTRA GÖTALANDS LÄN</t>
        </is>
      </c>
      <c r="G208" t="inlineStr">
        <is>
          <t>MUNKEDAL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37327-2022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44806</v>
      </c>
      <c r="E209" s="1" t="n">
        <v>46252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25.2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45678</v>
      </c>
      <c r="E210" s="1" t="n">
        <v>46252</v>
      </c>
      <c r="F210" t="inlineStr">
        <is>
          <t>VÄSTRA GÖTALANDS LÄN</t>
        </is>
      </c>
      <c r="G210" t="inlineStr">
        <is>
          <t>MUNKEDAL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46252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45985</v>
      </c>
      <c r="E212" s="1" t="n">
        <v>46252</v>
      </c>
      <c r="F212" t="inlineStr">
        <is>
          <t>VÄSTRA GÖTALANDS LÄN</t>
        </is>
      </c>
      <c r="G212" t="inlineStr">
        <is>
          <t>MUNKEDAL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45456</v>
      </c>
      <c r="E213" s="1" t="n">
        <v>46252</v>
      </c>
      <c r="F213" t="inlineStr">
        <is>
          <t>VÄSTRA GÖTALANDS LÄN</t>
        </is>
      </c>
      <c r="G213" t="inlineStr">
        <is>
          <t>MUNKEDAL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46252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45317</v>
      </c>
      <c r="E215" s="1" t="n">
        <v>46252</v>
      </c>
      <c r="F215" t="inlineStr">
        <is>
          <t>VÄSTRA GÖTALANDS LÄN</t>
        </is>
      </c>
      <c r="G215" t="inlineStr">
        <is>
          <t>MUNKEDAL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46252</v>
      </c>
      <c r="F216" t="inlineStr">
        <is>
          <t>VÄSTRA GÖTALANDS LÄN</t>
        </is>
      </c>
      <c r="G216" t="inlineStr">
        <is>
          <t>MUNKEDAL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45478</v>
      </c>
      <c r="E217" s="1" t="n">
        <v>46252</v>
      </c>
      <c r="F217" t="inlineStr">
        <is>
          <t>VÄSTRA GÖTALANDS LÄN</t>
        </is>
      </c>
      <c r="G217" t="inlineStr">
        <is>
          <t>MUNKEDAL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46252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46418-2024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45582</v>
      </c>
      <c r="E219" s="1" t="n">
        <v>46252</v>
      </c>
      <c r="F219" t="inlineStr">
        <is>
          <t>VÄSTRA GÖTALANDS LÄN</t>
        </is>
      </c>
      <c r="G219" t="inlineStr">
        <is>
          <t>MUNKEDAL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44698</v>
      </c>
      <c r="E220" s="1" t="n">
        <v>46252</v>
      </c>
      <c r="F220" t="inlineStr">
        <is>
          <t>VÄSTRA GÖTALANDS LÄN</t>
        </is>
      </c>
      <c r="G220" t="inlineStr">
        <is>
          <t>MUNKEDAL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46252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46252</v>
      </c>
      <c r="F222" t="inlineStr">
        <is>
          <t>VÄSTRA GÖTALANDS LÄN</t>
        </is>
      </c>
      <c r="G222" t="inlineStr">
        <is>
          <t>MUNKEDAL</t>
        </is>
      </c>
      <c r="I222" t="n">
        <v>17.5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46252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46252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46252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46252</v>
      </c>
      <c r="F226" t="inlineStr">
        <is>
          <t>VÄSTRA GÖTALANDS LÄN</t>
        </is>
      </c>
      <c r="G226" t="inlineStr">
        <is>
          <t>MUNKEDAL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46252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Kyrkan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44964</v>
      </c>
      <c r="E228" s="1" t="n">
        <v>46252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46252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45306</v>
      </c>
      <c r="E230" s="1" t="n">
        <v>46252</v>
      </c>
      <c r="F230" t="inlineStr">
        <is>
          <t>VÄSTRA GÖTALANDS LÄN</t>
        </is>
      </c>
      <c r="G230" t="inlineStr">
        <is>
          <t>MUNKEDAL</t>
        </is>
      </c>
      <c r="I230" t="n">
        <v>25.2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46252</v>
      </c>
      <c r="F231" t="inlineStr">
        <is>
          <t>VÄSTRA GÖTALANDS LÄN</t>
        </is>
      </c>
      <c r="G231" t="inlineStr">
        <is>
          <t>MUNKEDAL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46252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46252</v>
      </c>
      <c r="F233" t="inlineStr">
        <is>
          <t>VÄSTRA GÖTALANDS LÄN</t>
        </is>
      </c>
      <c r="G233" t="inlineStr">
        <is>
          <t>MUNKEDAL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19361-2023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45049</v>
      </c>
      <c r="E234" s="1" t="n">
        <v>46252</v>
      </c>
      <c r="F234" t="inlineStr">
        <is>
          <t>VÄSTRA GÖTALANDS LÄN</t>
        </is>
      </c>
      <c r="G234" t="inlineStr">
        <is>
          <t>MUNKEDAL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46252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46252</v>
      </c>
      <c r="F236" t="inlineStr">
        <is>
          <t>VÄSTRA GÖTALANDS LÄN</t>
        </is>
      </c>
      <c r="G236" t="inlineStr">
        <is>
          <t>MUNKEDAL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46252</v>
      </c>
      <c r="F237" t="inlineStr">
        <is>
          <t>VÄSTRA GÖTALANDS LÄN</t>
        </is>
      </c>
      <c r="G237" t="inlineStr">
        <is>
          <t>MUNKEDAL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45736</v>
      </c>
      <c r="E238" s="1" t="n">
        <v>46252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46022</v>
      </c>
      <c r="E239" s="1" t="n">
        <v>46252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46252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46252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54518-2023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46252</v>
      </c>
      <c r="F242" t="inlineStr">
        <is>
          <t>VÄSTRA GÖTALANDS LÄN</t>
        </is>
      </c>
      <c r="G242" t="inlineStr">
        <is>
          <t>MUNKEDAL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44439</v>
      </c>
      <c r="E243" s="1" t="n">
        <v>46252</v>
      </c>
      <c r="F243" t="inlineStr">
        <is>
          <t>VÄSTRA GÖTALANDS LÄN</t>
        </is>
      </c>
      <c r="G243" t="inlineStr">
        <is>
          <t>MUNKEDAL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54955-2024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45619</v>
      </c>
      <c r="E244" s="1" t="n">
        <v>46252</v>
      </c>
      <c r="F244" t="inlineStr">
        <is>
          <t>VÄSTRA GÖTALANDS LÄN</t>
        </is>
      </c>
      <c r="G244" t="inlineStr">
        <is>
          <t>MUNKEDAL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45631</v>
      </c>
      <c r="E245" s="1" t="n">
        <v>46252</v>
      </c>
      <c r="F245" t="inlineStr">
        <is>
          <t>VÄSTRA GÖTALANDS LÄN</t>
        </is>
      </c>
      <c r="G245" t="inlineStr">
        <is>
          <t>MUNKEDAL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46030</v>
      </c>
      <c r="E246" s="1" t="n">
        <v>46252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45470</v>
      </c>
      <c r="E247" s="1" t="n">
        <v>46252</v>
      </c>
      <c r="F247" t="inlineStr">
        <is>
          <t>VÄSTRA GÖTALANDS LÄN</t>
        </is>
      </c>
      <c r="G247" t="inlineStr">
        <is>
          <t>MUNKEDAL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46035</v>
      </c>
      <c r="E248" s="1" t="n">
        <v>46252</v>
      </c>
      <c r="F248" t="inlineStr">
        <is>
          <t>VÄSTRA GÖTALANDS LÄN</t>
        </is>
      </c>
      <c r="G248" t="inlineStr">
        <is>
          <t>MUNKEDAL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46252</v>
      </c>
      <c r="F249" t="inlineStr">
        <is>
          <t>VÄSTRA GÖTALANDS LÄN</t>
        </is>
      </c>
      <c r="G249" t="inlineStr">
        <is>
          <t>MUNKEDAL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45769</v>
      </c>
      <c r="E250" s="1" t="n">
        <v>46252</v>
      </c>
      <c r="F250" t="inlineStr">
        <is>
          <t>VÄSTRA GÖTALANDS LÄN</t>
        </is>
      </c>
      <c r="G250" t="inlineStr">
        <is>
          <t>MUNKEDAL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46252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49946-2021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44454</v>
      </c>
      <c r="E252" s="1" t="n">
        <v>46252</v>
      </c>
      <c r="F252" t="inlineStr">
        <is>
          <t>VÄSTRA GÖTALANDS LÄN</t>
        </is>
      </c>
      <c r="G252" t="inlineStr">
        <is>
          <t>MUNKEDAL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33192-2023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46252</v>
      </c>
      <c r="F253" t="inlineStr">
        <is>
          <t>VÄSTRA GÖTALANDS LÄN</t>
        </is>
      </c>
      <c r="G253" t="inlineStr">
        <is>
          <t>MUNKEDAL</t>
        </is>
      </c>
      <c r="I253" t="n">
        <v>7.8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46252</v>
      </c>
      <c r="F254" t="inlineStr">
        <is>
          <t>VÄSTRA GÖTALANDS LÄN</t>
        </is>
      </c>
      <c r="G254" t="inlineStr">
        <is>
          <t>MUNKEDAL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46252</v>
      </c>
      <c r="F255" t="inlineStr">
        <is>
          <t>VÄSTRA GÖTALANDS LÄN</t>
        </is>
      </c>
      <c r="G255" t="inlineStr">
        <is>
          <t>MUNKEDAL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38164-2022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46252</v>
      </c>
      <c r="F256" t="inlineStr">
        <is>
          <t>VÄSTRA GÖTALANDS LÄN</t>
        </is>
      </c>
      <c r="G256" t="inlineStr">
        <is>
          <t>MUNKEDAL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45546</v>
      </c>
      <c r="E257" s="1" t="n">
        <v>46252</v>
      </c>
      <c r="F257" t="inlineStr">
        <is>
          <t>VÄSTRA GÖTALANDS LÄN</t>
        </is>
      </c>
      <c r="G257" t="inlineStr">
        <is>
          <t>MUNKEDAL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46252</v>
      </c>
      <c r="F258" t="inlineStr">
        <is>
          <t>VÄSTRA GÖTALANDS LÄN</t>
        </is>
      </c>
      <c r="G258" t="inlineStr">
        <is>
          <t>MUNKEDAL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45203</v>
      </c>
      <c r="E259" s="1" t="n">
        <v>46252</v>
      </c>
      <c r="F259" t="inlineStr">
        <is>
          <t>VÄSTRA GÖTALANDS LÄN</t>
        </is>
      </c>
      <c r="G259" t="inlineStr">
        <is>
          <t>MUNKEDAL</t>
        </is>
      </c>
      <c r="I259" t="n">
        <v>14.1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46252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45618</v>
      </c>
      <c r="E261" s="1" t="n">
        <v>46252</v>
      </c>
      <c r="F261" t="inlineStr">
        <is>
          <t>VÄSTRA GÖTALANDS LÄN</t>
        </is>
      </c>
      <c r="G261" t="inlineStr">
        <is>
          <t>MUNKEDAL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45293</v>
      </c>
      <c r="E262" s="1" t="n">
        <v>46252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45063</v>
      </c>
      <c r="E263" s="1" t="n">
        <v>46252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45148</v>
      </c>
      <c r="E264" s="1" t="n">
        <v>46252</v>
      </c>
      <c r="F264" t="inlineStr">
        <is>
          <t>VÄSTRA GÖTALANDS LÄN</t>
        </is>
      </c>
      <c r="G264" t="inlineStr">
        <is>
          <t>MUNKEDAL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46252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46252</v>
      </c>
      <c r="F266" t="inlineStr">
        <is>
          <t>VÄSTRA GÖTALANDS LÄN</t>
        </is>
      </c>
      <c r="G266" t="inlineStr">
        <is>
          <t>MUNKEDAL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46047</v>
      </c>
      <c r="E267" s="1" t="n">
        <v>46252</v>
      </c>
      <c r="F267" t="inlineStr">
        <is>
          <t>VÄSTRA GÖTALANDS LÄN</t>
        </is>
      </c>
      <c r="G267" t="inlineStr">
        <is>
          <t>MUNKEDAL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45337</v>
      </c>
      <c r="E268" s="1" t="n">
        <v>46252</v>
      </c>
      <c r="F268" t="inlineStr">
        <is>
          <t>VÄSTRA GÖTALANDS LÄN</t>
        </is>
      </c>
      <c r="G268" t="inlineStr">
        <is>
          <t>MUNKEDAL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44715</v>
      </c>
      <c r="E269" s="1" t="n">
        <v>46252</v>
      </c>
      <c r="F269" t="inlineStr">
        <is>
          <t>VÄSTRA GÖTALANDS LÄN</t>
        </is>
      </c>
      <c r="G269" t="inlineStr">
        <is>
          <t>MUNKEDAL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45522</v>
      </c>
      <c r="E270" s="1" t="n">
        <v>46252</v>
      </c>
      <c r="F270" t="inlineStr">
        <is>
          <t>VÄSTRA GÖTALANDS LÄN</t>
        </is>
      </c>
      <c r="G270" t="inlineStr">
        <is>
          <t>MUNKEDAL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46252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46252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Kyrkan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46252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46252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46252</v>
      </c>
      <c r="F275" t="inlineStr">
        <is>
          <t>VÄSTRA GÖTALANDS LÄN</t>
        </is>
      </c>
      <c r="G275" t="inlineStr">
        <is>
          <t>MUNKEDAL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45667</v>
      </c>
      <c r="E276" s="1" t="n">
        <v>46252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46059</v>
      </c>
      <c r="E277" s="1" t="n">
        <v>46252</v>
      </c>
      <c r="F277" t="inlineStr">
        <is>
          <t>VÄSTRA GÖTALANDS LÄN</t>
        </is>
      </c>
      <c r="G277" t="inlineStr">
        <is>
          <t>MUNKEDAL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46252</v>
      </c>
      <c r="F278" t="inlineStr">
        <is>
          <t>VÄSTRA GÖTALANDS LÄN</t>
        </is>
      </c>
      <c r="G278" t="inlineStr">
        <is>
          <t>MUNKEDAL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46252</v>
      </c>
      <c r="F279" t="inlineStr">
        <is>
          <t>VÄSTRA GÖTALANDS LÄN</t>
        </is>
      </c>
      <c r="G279" t="inlineStr">
        <is>
          <t>MUNKEDAL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46064</v>
      </c>
      <c r="E280" s="1" t="n">
        <v>46252</v>
      </c>
      <c r="F280" t="inlineStr">
        <is>
          <t>VÄSTRA GÖTALANDS LÄN</t>
        </is>
      </c>
      <c r="G280" t="inlineStr">
        <is>
          <t>MUNKEDAL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46252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46252</v>
      </c>
      <c r="F282" t="inlineStr">
        <is>
          <t>VÄSTRA GÖTALANDS LÄN</t>
        </is>
      </c>
      <c r="G282" t="inlineStr">
        <is>
          <t>MUNKEDAL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46252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46073</v>
      </c>
      <c r="E284" s="1" t="n">
        <v>46252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43438-2021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46252</v>
      </c>
      <c r="F285" t="inlineStr">
        <is>
          <t>VÄSTRA GÖTALANDS LÄN</t>
        </is>
      </c>
      <c r="G285" t="inlineStr">
        <is>
          <t>MUNKEDAL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43547-2021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46252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46252</v>
      </c>
      <c r="F287" t="inlineStr">
        <is>
          <t>VÄSTRA GÖTALANDS LÄN</t>
        </is>
      </c>
      <c r="G287" t="inlineStr">
        <is>
          <t>MUNKEDAL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46252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45560</v>
      </c>
      <c r="E289" s="1" t="n">
        <v>46252</v>
      </c>
      <c r="F289" t="inlineStr">
        <is>
          <t>VÄSTRA GÖTALANDS LÄN</t>
        </is>
      </c>
      <c r="G289" t="inlineStr">
        <is>
          <t>MUNKEDAL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45342</v>
      </c>
      <c r="E290" s="1" t="n">
        <v>46252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46252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12624-2026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46252</v>
      </c>
      <c r="F292" t="inlineStr">
        <is>
          <t>VÄSTRA GÖTALANDS LÄN</t>
        </is>
      </c>
      <c r="G292" t="inlineStr">
        <is>
          <t>MUNKEDAL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46252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Naturvårdsverket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45111</v>
      </c>
      <c r="E294" s="1" t="n">
        <v>46252</v>
      </c>
      <c r="F294" t="inlineStr">
        <is>
          <t>VÄSTRA GÖTALANDS LÄN</t>
        </is>
      </c>
      <c r="G294" t="inlineStr">
        <is>
          <t>MUNKEDAL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45261</v>
      </c>
      <c r="E295" s="1" t="n">
        <v>46252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58617-2023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45251</v>
      </c>
      <c r="E296" s="1" t="n">
        <v>46252</v>
      </c>
      <c r="F296" t="inlineStr">
        <is>
          <t>VÄSTRA GÖTALANDS LÄN</t>
        </is>
      </c>
      <c r="G296" t="inlineStr">
        <is>
          <t>MUNKEDAL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46252</v>
      </c>
      <c r="F297" t="inlineStr">
        <is>
          <t>VÄSTRA GÖTALANDS LÄN</t>
        </is>
      </c>
      <c r="G297" t="inlineStr">
        <is>
          <t>MUNKEDAL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14607-2026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46252</v>
      </c>
      <c r="F298" t="inlineStr">
        <is>
          <t>VÄSTRA GÖTALANDS LÄN</t>
        </is>
      </c>
      <c r="G298" t="inlineStr">
        <is>
          <t>MUNKEDAL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44608</v>
      </c>
      <c r="E299" s="1" t="n">
        <v>46252</v>
      </c>
      <c r="F299" t="inlineStr">
        <is>
          <t>VÄSTRA GÖTALANDS LÄN</t>
        </is>
      </c>
      <c r="G299" t="inlineStr">
        <is>
          <t>MUNKEDAL</t>
        </is>
      </c>
      <c r="I299" t="n">
        <v>15.4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46252</v>
      </c>
      <c r="F300" t="inlineStr">
        <is>
          <t>VÄSTRA GÖTALANDS LÄN</t>
        </is>
      </c>
      <c r="G300" t="inlineStr">
        <is>
          <t>MUNKEDAL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50034-2023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46252</v>
      </c>
      <c r="F301" t="inlineStr">
        <is>
          <t>VÄSTRA GÖTALANDS LÄN</t>
        </is>
      </c>
      <c r="G301" t="inlineStr">
        <is>
          <t>MUNKEDAL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46189</v>
      </c>
      <c r="E302" s="1" t="n">
        <v>46252</v>
      </c>
      <c r="F302" t="inlineStr">
        <is>
          <t>VÄSTRA GÖTALANDS LÄN</t>
        </is>
      </c>
      <c r="G302" t="inlineStr">
        <is>
          <t>MUNKEDAL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45071</v>
      </c>
      <c r="E303" s="1" t="n">
        <v>46252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Naturvårdsverket</t>
        </is>
      </c>
      <c r="I303" t="n">
        <v>15.8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45532</v>
      </c>
      <c r="E304" s="1" t="n">
        <v>46252</v>
      </c>
      <c r="F304" t="inlineStr">
        <is>
          <t>VÄSTRA GÖTALANDS LÄN</t>
        </is>
      </c>
      <c r="G304" t="inlineStr">
        <is>
          <t>MUNKEDAL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45155</v>
      </c>
      <c r="E305" s="1" t="n">
        <v>46252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46252</v>
      </c>
      <c r="F306" t="inlineStr">
        <is>
          <t>VÄSTRA GÖTALANDS LÄN</t>
        </is>
      </c>
      <c r="G306" t="inlineStr">
        <is>
          <t>MUNKEDAL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46252</v>
      </c>
      <c r="F307" t="inlineStr">
        <is>
          <t>VÄSTRA GÖTALANDS LÄN</t>
        </is>
      </c>
      <c r="G307" t="inlineStr">
        <is>
          <t>MUNKEDAL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9739-2023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44984</v>
      </c>
      <c r="E308" s="1" t="n">
        <v>46252</v>
      </c>
      <c r="F308" t="inlineStr">
        <is>
          <t>VÄSTRA GÖTALANDS LÄN</t>
        </is>
      </c>
      <c r="G308" t="inlineStr">
        <is>
          <t>MUNKEDAL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45489</v>
      </c>
      <c r="E309" s="1" t="n">
        <v>46252</v>
      </c>
      <c r="F309" t="inlineStr">
        <is>
          <t>VÄSTRA GÖTALANDS LÄN</t>
        </is>
      </c>
      <c r="G309" t="inlineStr">
        <is>
          <t>MUNKEDAL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46252</v>
      </c>
      <c r="F310" t="inlineStr">
        <is>
          <t>VÄSTRA GÖTALANDS LÄN</t>
        </is>
      </c>
      <c r="G310" t="inlineStr">
        <is>
          <t>MUNKEDAL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45282</v>
      </c>
      <c r="E311" s="1" t="n">
        <v>46252</v>
      </c>
      <c r="F311" t="inlineStr">
        <is>
          <t>VÄSTRA GÖTALANDS LÄN</t>
        </is>
      </c>
      <c r="G311" t="inlineStr">
        <is>
          <t>MUNKEDAL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46252</v>
      </c>
      <c r="F312" t="inlineStr">
        <is>
          <t>VÄSTRA GÖTALANDS LÄN</t>
        </is>
      </c>
      <c r="G312" t="inlineStr">
        <is>
          <t>MUNKEDAL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46252</v>
      </c>
      <c r="F313" t="inlineStr">
        <is>
          <t>VÄSTRA GÖTALANDS LÄN</t>
        </is>
      </c>
      <c r="G313" t="inlineStr">
        <is>
          <t>MUNKEDAL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46252</v>
      </c>
      <c r="F314" t="inlineStr">
        <is>
          <t>VÄSTRA GÖTALANDS LÄN</t>
        </is>
      </c>
      <c r="G314" t="inlineStr">
        <is>
          <t>MUNKEDAL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45736</v>
      </c>
      <c r="E315" s="1" t="n">
        <v>46252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46252</v>
      </c>
      <c r="F316" t="inlineStr">
        <is>
          <t>VÄSTRA GÖTALANDS LÄN</t>
        </is>
      </c>
      <c r="G316" t="inlineStr">
        <is>
          <t>MUNKEDAL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46252</v>
      </c>
      <c r="F317" t="inlineStr">
        <is>
          <t>VÄSTRA GÖTALANDS LÄN</t>
        </is>
      </c>
      <c r="G317" t="inlineStr">
        <is>
          <t>MUNKEDAL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46252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Kommuner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46252</v>
      </c>
      <c r="F319" t="inlineStr">
        <is>
          <t>VÄSTRA GÖTALANDS LÄN</t>
        </is>
      </c>
      <c r="G319" t="inlineStr">
        <is>
          <t>MUNKEDAL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46252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44672</v>
      </c>
      <c r="E321" s="1" t="n">
        <v>46252</v>
      </c>
      <c r="F321" t="inlineStr">
        <is>
          <t>VÄSTRA GÖTALANDS LÄN</t>
        </is>
      </c>
      <c r="G321" t="inlineStr">
        <is>
          <t>MUNKEDAL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46129</v>
      </c>
      <c r="E322" s="1" t="n">
        <v>46252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46239</v>
      </c>
      <c r="E323" s="1" t="n">
        <v>46252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60227-2024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45640</v>
      </c>
      <c r="E324" s="1" t="n">
        <v>46252</v>
      </c>
      <c r="F324" t="inlineStr">
        <is>
          <t>VÄSTRA GÖTALANDS LÄN</t>
        </is>
      </c>
      <c r="G324" t="inlineStr">
        <is>
          <t>MUNKEDAL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46252</v>
      </c>
      <c r="F325" t="inlineStr">
        <is>
          <t>VÄSTRA GÖTALANDS LÄN</t>
        </is>
      </c>
      <c r="G325" t="inlineStr">
        <is>
          <t>MUNKEDAL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45620</v>
      </c>
      <c r="E326" s="1" t="n">
        <v>46252</v>
      </c>
      <c r="F326" t="inlineStr">
        <is>
          <t>VÄSTRA GÖTALANDS LÄN</t>
        </is>
      </c>
      <c r="G326" t="inlineStr">
        <is>
          <t>MUNKEDAL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46131</v>
      </c>
      <c r="E327" s="1" t="n">
        <v>46252</v>
      </c>
      <c r="F327" t="inlineStr">
        <is>
          <t>VÄSTRA GÖTALANDS LÄN</t>
        </is>
      </c>
      <c r="G327" t="inlineStr">
        <is>
          <t>MUNKEDAL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19593-2026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46134</v>
      </c>
      <c r="E328" s="1" t="n">
        <v>46252</v>
      </c>
      <c r="F328" t="inlineStr">
        <is>
          <t>VÄSTRA GÖTALANDS LÄN</t>
        </is>
      </c>
      <c r="G328" t="inlineStr">
        <is>
          <t>MUNKEDAL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46252</v>
      </c>
      <c r="F329" t="inlineStr">
        <is>
          <t>VÄSTRA GÖTALANDS LÄN</t>
        </is>
      </c>
      <c r="G329" t="inlineStr">
        <is>
          <t>MUNKEDAL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46252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46252</v>
      </c>
      <c r="F331" t="inlineStr">
        <is>
          <t>VÄSTRA GÖTALANDS LÄN</t>
        </is>
      </c>
      <c r="G331" t="inlineStr">
        <is>
          <t>MUNKEDAL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46252</v>
      </c>
      <c r="F332" t="inlineStr">
        <is>
          <t>VÄSTRA GÖTALANDS LÄN</t>
        </is>
      </c>
      <c r="G332" t="inlineStr">
        <is>
          <t>MUNKEDAL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46252</v>
      </c>
      <c r="F333" t="inlineStr">
        <is>
          <t>VÄSTRA GÖTALANDS LÄN</t>
        </is>
      </c>
      <c r="G333" t="inlineStr">
        <is>
          <t>MUNKEDAL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46252</v>
      </c>
      <c r="F334" t="inlineStr">
        <is>
          <t>VÄSTRA GÖTALANDS LÄN</t>
        </is>
      </c>
      <c r="G334" t="inlineStr">
        <is>
          <t>MUNKEDAL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45954</v>
      </c>
      <c r="E335" s="1" t="n">
        <v>46252</v>
      </c>
      <c r="F335" t="inlineStr">
        <is>
          <t>VÄSTRA GÖTALANDS LÄN</t>
        </is>
      </c>
      <c r="G335" t="inlineStr">
        <is>
          <t>MUNKEDAL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45388</v>
      </c>
      <c r="E336" s="1" t="n">
        <v>46252</v>
      </c>
      <c r="F336" t="inlineStr">
        <is>
          <t>VÄSTRA GÖTALANDS LÄN</t>
        </is>
      </c>
      <c r="G336" t="inlineStr">
        <is>
          <t>MUNKEDAL</t>
        </is>
      </c>
      <c r="I336" t="n">
        <v>9.6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46252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46244</v>
      </c>
      <c r="E338" s="1" t="n">
        <v>46252</v>
      </c>
      <c r="F338" t="inlineStr">
        <is>
          <t>VÄSTRA GÖTALANDS LÄN</t>
        </is>
      </c>
      <c r="G338" t="inlineStr">
        <is>
          <t>MUNKEDAL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46252</v>
      </c>
      <c r="F339" t="inlineStr">
        <is>
          <t>VÄSTRA GÖTALANDS LÄN</t>
        </is>
      </c>
      <c r="G339" t="inlineStr">
        <is>
          <t>MUNKEDAL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45540</v>
      </c>
      <c r="E340" s="1" t="n">
        <v>46252</v>
      </c>
      <c r="F340" t="inlineStr">
        <is>
          <t>VÄSTRA GÖTALANDS LÄN</t>
        </is>
      </c>
      <c r="G340" t="inlineStr">
        <is>
          <t>MUNKEDAL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46252</v>
      </c>
      <c r="F341" t="inlineStr">
        <is>
          <t>VÄSTRA GÖTALANDS LÄN</t>
        </is>
      </c>
      <c r="G341" t="inlineStr">
        <is>
          <t>MUNKEDAL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46252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45700</v>
      </c>
      <c r="E343" s="1" t="n">
        <v>46252</v>
      </c>
      <c r="F343" t="inlineStr">
        <is>
          <t>VÄSTRA GÖTALANDS LÄN</t>
        </is>
      </c>
      <c r="G343" t="inlineStr">
        <is>
          <t>MUNKEDAL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45296</v>
      </c>
      <c r="E344" s="1" t="n">
        <v>46252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45355</v>
      </c>
      <c r="E345" s="1" t="n">
        <v>46252</v>
      </c>
      <c r="F345" t="inlineStr">
        <is>
          <t>VÄSTRA GÖTALANDS LÄN</t>
        </is>
      </c>
      <c r="G345" t="inlineStr">
        <is>
          <t>MUNKEDAL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46252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Kyrkan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46252</v>
      </c>
      <c r="F347" t="inlineStr">
        <is>
          <t>VÄSTRA GÖTALANDS LÄN</t>
        </is>
      </c>
      <c r="G347" t="inlineStr">
        <is>
          <t>MUNKEDAL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46252</v>
      </c>
      <c r="F348" t="inlineStr">
        <is>
          <t>VÄSTRA GÖTALANDS LÄN</t>
        </is>
      </c>
      <c r="G348" t="inlineStr">
        <is>
          <t>MUNKEDAL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46252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Kommuner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46203</v>
      </c>
      <c r="E350" s="1" t="n">
        <v>46252</v>
      </c>
      <c r="F350" t="inlineStr">
        <is>
          <t>VÄSTRA GÖTALANDS LÄN</t>
        </is>
      </c>
      <c r="G350" t="inlineStr">
        <is>
          <t>MUNKEDAL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46247</v>
      </c>
      <c r="E351" s="1" t="n">
        <v>46252</v>
      </c>
      <c r="F351" t="inlineStr">
        <is>
          <t>VÄSTRA GÖTALANDS LÄN</t>
        </is>
      </c>
      <c r="G351" t="inlineStr">
        <is>
          <t>MUNKEDAL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31167-2026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46209</v>
      </c>
      <c r="E352" s="1" t="n">
        <v>46252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46252</v>
      </c>
      <c r="F353" t="inlineStr">
        <is>
          <t>VÄSTRA GÖTALANDS LÄN</t>
        </is>
      </c>
      <c r="G353" t="inlineStr">
        <is>
          <t>MUNKEDAL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46252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Kommuner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46252</v>
      </c>
      <c r="F355" t="inlineStr">
        <is>
          <t>VÄSTRA GÖTALANDS LÄN</t>
        </is>
      </c>
      <c r="G355" t="inlineStr">
        <is>
          <t>MUNKEDAL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46252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Kyrkan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44620-2021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44436</v>
      </c>
      <c r="E357" s="1" t="n">
        <v>46252</v>
      </c>
      <c r="F357" t="inlineStr">
        <is>
          <t>VÄSTRA GÖTALANDS LÄN</t>
        </is>
      </c>
      <c r="G357" t="inlineStr">
        <is>
          <t>MUNKEDAL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49218-2022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44861</v>
      </c>
      <c r="E358" s="1" t="n">
        <v>46252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9021-2024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45356</v>
      </c>
      <c r="E359" s="1" t="n">
        <v>46252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46252</v>
      </c>
      <c r="F360" t="inlineStr">
        <is>
          <t>VÄSTRA GÖTALANDS LÄN</t>
        </is>
      </c>
      <c r="G360" t="inlineStr">
        <is>
          <t>MUNKEDAL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46252</v>
      </c>
      <c r="F361" t="inlineStr">
        <is>
          <t>VÄSTRA GÖTALANDS LÄN</t>
        </is>
      </c>
      <c r="G361" t="inlineStr">
        <is>
          <t>MUNKEDAL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17678-2024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45418</v>
      </c>
      <c r="E362" s="1" t="n">
        <v>46252</v>
      </c>
      <c r="F362" t="inlineStr">
        <is>
          <t>VÄSTRA GÖTALANDS LÄN</t>
        </is>
      </c>
      <c r="G362" t="inlineStr">
        <is>
          <t>MUNKEDAL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20456-2026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46252</v>
      </c>
      <c r="F363" t="inlineStr">
        <is>
          <t>VÄSTRA GÖTALANDS LÄN</t>
        </is>
      </c>
      <c r="G363" t="inlineStr">
        <is>
          <t>MUNKEDAL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44704</v>
      </c>
      <c r="E364" s="1" t="n">
        <v>46252</v>
      </c>
      <c r="F364" t="inlineStr">
        <is>
          <t>VÄSTRA GÖTALANDS LÄN</t>
        </is>
      </c>
      <c r="G364" t="inlineStr">
        <is>
          <t>MUNKEDAL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46142</v>
      </c>
      <c r="E365" s="1" t="n">
        <v>46252</v>
      </c>
      <c r="F365" t="inlineStr">
        <is>
          <t>VÄSTRA GÖTALANDS LÄN</t>
        </is>
      </c>
      <c r="G365" t="inlineStr">
        <is>
          <t>MUNKEDAL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45489</v>
      </c>
      <c r="E366" s="1" t="n">
        <v>46252</v>
      </c>
      <c r="F366" t="inlineStr">
        <is>
          <t>VÄSTRA GÖTALANDS LÄN</t>
        </is>
      </c>
      <c r="G366" t="inlineStr">
        <is>
          <t>MUNKEDAL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32300-2023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46252</v>
      </c>
      <c r="F367" t="inlineStr">
        <is>
          <t>VÄSTRA GÖTALANDS LÄN</t>
        </is>
      </c>
      <c r="G367" t="inlineStr">
        <is>
          <t>MUNKEDAL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46252</v>
      </c>
      <c r="F368" t="inlineStr">
        <is>
          <t>VÄSTRA GÖTALANDS LÄN</t>
        </is>
      </c>
      <c r="G368" t="inlineStr">
        <is>
          <t>MUNKEDAL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46434-2024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45582</v>
      </c>
      <c r="E369" s="1" t="n">
        <v>46252</v>
      </c>
      <c r="F369" t="inlineStr">
        <is>
          <t>VÄSTRA GÖTALANDS LÄN</t>
        </is>
      </c>
      <c r="G369" t="inlineStr">
        <is>
          <t>MUNKEDAL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31166-2026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46252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45777</v>
      </c>
      <c r="E371" s="1" t="n">
        <v>46252</v>
      </c>
      <c r="F371" t="inlineStr">
        <is>
          <t>VÄSTRA GÖTALANDS LÄN</t>
        </is>
      </c>
      <c r="G371" t="inlineStr">
        <is>
          <t>MUNKEDAL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46252</v>
      </c>
      <c r="F372" t="inlineStr">
        <is>
          <t>VÄSTRA GÖTALANDS LÄN</t>
        </is>
      </c>
      <c r="G372" t="inlineStr">
        <is>
          <t>MUNKEDAL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45777</v>
      </c>
      <c r="E373" s="1" t="n">
        <v>46252</v>
      </c>
      <c r="F373" t="inlineStr">
        <is>
          <t>VÄSTRA GÖTALANDS LÄN</t>
        </is>
      </c>
      <c r="G373" t="inlineStr">
        <is>
          <t>MUNKEDAL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45778</v>
      </c>
      <c r="E374" s="1" t="n">
        <v>46252</v>
      </c>
      <c r="F374" t="inlineStr">
        <is>
          <t>VÄSTRA GÖTALANDS LÄN</t>
        </is>
      </c>
      <c r="G374" t="inlineStr">
        <is>
          <t>MUNKEDAL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45778</v>
      </c>
      <c r="E375" s="1" t="n">
        <v>46252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46252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46252</v>
      </c>
      <c r="F377" t="inlineStr">
        <is>
          <t>VÄSTRA GÖTALANDS LÄN</t>
        </is>
      </c>
      <c r="G377" t="inlineStr">
        <is>
          <t>MUNKEDAL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46252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21984-2025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45784</v>
      </c>
      <c r="E379" s="1" t="n">
        <v>46252</v>
      </c>
      <c r="F379" t="inlineStr">
        <is>
          <t>VÄSTRA GÖTALANDS LÄN</t>
        </is>
      </c>
      <c r="G379" t="inlineStr">
        <is>
          <t>MUNKEDAL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45784</v>
      </c>
      <c r="E380" s="1" t="n">
        <v>46252</v>
      </c>
      <c r="F380" t="inlineStr">
        <is>
          <t>VÄSTRA GÖTALANDS LÄN</t>
        </is>
      </c>
      <c r="G380" t="inlineStr">
        <is>
          <t>MUNKEDAL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46252</v>
      </c>
      <c r="F381" t="inlineStr">
        <is>
          <t>VÄSTRA GÖTALANDS LÄN</t>
        </is>
      </c>
      <c r="G381" t="inlineStr">
        <is>
          <t>MUNKEDAL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45720</v>
      </c>
      <c r="E382" s="1" t="n">
        <v>46252</v>
      </c>
      <c r="F382" t="inlineStr">
        <is>
          <t>VÄSTRA GÖTALANDS LÄN</t>
        </is>
      </c>
      <c r="G382" t="inlineStr">
        <is>
          <t>MUNKEDAL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45721</v>
      </c>
      <c r="E383" s="1" t="n">
        <v>46252</v>
      </c>
      <c r="F383" t="inlineStr">
        <is>
          <t>VÄSTRA GÖTALANDS LÄN</t>
        </is>
      </c>
      <c r="G383" t="inlineStr">
        <is>
          <t>MUNKEDAL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46252</v>
      </c>
      <c r="F384" t="inlineStr">
        <is>
          <t>VÄSTRA GÖTALANDS LÄN</t>
        </is>
      </c>
      <c r="G384" t="inlineStr">
        <is>
          <t>MUNKEDAL</t>
        </is>
      </c>
      <c r="I384" t="n">
        <v>13.8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45408</v>
      </c>
      <c r="E385" s="1" t="n">
        <v>46252</v>
      </c>
      <c r="F385" t="inlineStr">
        <is>
          <t>VÄSTRA GÖTALANDS LÄN</t>
        </is>
      </c>
      <c r="G385" t="inlineStr">
        <is>
          <t>MUNKEDAL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46252</v>
      </c>
      <c r="F386" t="inlineStr">
        <is>
          <t>VÄSTRA GÖTALANDS LÄN</t>
        </is>
      </c>
      <c r="G386" t="inlineStr">
        <is>
          <t>MUNKEDAL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46252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statliga verk och myndigheter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46252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26.5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46252</v>
      </c>
      <c r="F389" t="inlineStr">
        <is>
          <t>VÄSTRA GÖTALANDS LÄN</t>
        </is>
      </c>
      <c r="G389" t="inlineStr">
        <is>
          <t>MUNKEDAL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46252</v>
      </c>
      <c r="F390" t="inlineStr">
        <is>
          <t>VÄSTRA GÖTALANDS LÄN</t>
        </is>
      </c>
      <c r="G390" t="inlineStr">
        <is>
          <t>MUNKEDAL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45792</v>
      </c>
      <c r="E391" s="1" t="n">
        <v>46252</v>
      </c>
      <c r="F391" t="inlineStr">
        <is>
          <t>VÄSTRA GÖTALANDS LÄN</t>
        </is>
      </c>
      <c r="G391" t="inlineStr">
        <is>
          <t>MUNKEDAL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45797</v>
      </c>
      <c r="E392" s="1" t="n">
        <v>46252</v>
      </c>
      <c r="F392" t="inlineStr">
        <is>
          <t>VÄSTRA GÖTALANDS LÄN</t>
        </is>
      </c>
      <c r="G392" t="inlineStr">
        <is>
          <t>MUNKEDAL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24397-2025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45797</v>
      </c>
      <c r="E393" s="1" t="n">
        <v>46252</v>
      </c>
      <c r="F393" t="inlineStr">
        <is>
          <t>VÄSTRA GÖTALANDS LÄN</t>
        </is>
      </c>
      <c r="G393" t="inlineStr">
        <is>
          <t>MUNKEDAL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46252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45696</v>
      </c>
      <c r="E395" s="1" t="n">
        <v>46252</v>
      </c>
      <c r="F395" t="inlineStr">
        <is>
          <t>VÄSTRA GÖTALANDS LÄN</t>
        </is>
      </c>
      <c r="G395" t="inlineStr">
        <is>
          <t>MUNKEDAL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46169</v>
      </c>
      <c r="E396" s="1" t="n">
        <v>46252</v>
      </c>
      <c r="F396" t="inlineStr">
        <is>
          <t>VÄSTRA GÖTALANDS LÄN</t>
        </is>
      </c>
      <c r="G396" t="inlineStr">
        <is>
          <t>MUNKEDAL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46252</v>
      </c>
      <c r="F397" t="inlineStr">
        <is>
          <t>VÄSTRA GÖTALANDS LÄN</t>
        </is>
      </c>
      <c r="G397" t="inlineStr">
        <is>
          <t>MUNKEDAL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46252</v>
      </c>
      <c r="F398" t="inlineStr">
        <is>
          <t>VÄSTRA GÖTALANDS LÄN</t>
        </is>
      </c>
      <c r="G398" t="inlineStr">
        <is>
          <t>MUNKEDAL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44482-2023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45189</v>
      </c>
      <c r="E399" s="1" t="n">
        <v>46252</v>
      </c>
      <c r="F399" t="inlineStr">
        <is>
          <t>VÄSTRA GÖTALANDS LÄN</t>
        </is>
      </c>
      <c r="G399" t="inlineStr">
        <is>
          <t>MUNKEDAL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45174</v>
      </c>
      <c r="E400" s="1" t="n">
        <v>46252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Kyrkan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51411-2022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46252</v>
      </c>
      <c r="F401" t="inlineStr">
        <is>
          <t>VÄSTRA GÖTALANDS LÄN</t>
        </is>
      </c>
      <c r="G401" t="inlineStr">
        <is>
          <t>MUNKEDAL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46252</v>
      </c>
      <c r="F402" t="inlineStr">
        <is>
          <t>VÄSTRA GÖTALANDS LÄN</t>
        </is>
      </c>
      <c r="G402" t="inlineStr">
        <is>
          <t>MUNKEDAL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25607-2025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46252</v>
      </c>
      <c r="F403" t="inlineStr">
        <is>
          <t>VÄSTRA GÖTALANDS LÄN</t>
        </is>
      </c>
      <c r="G403" t="inlineStr">
        <is>
          <t>MUNKEDAL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19631-2022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44694</v>
      </c>
      <c r="E404" s="1" t="n">
        <v>46252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45625</v>
      </c>
      <c r="E405" s="1" t="n">
        <v>46252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Kyrkan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46217</v>
      </c>
      <c r="E406" s="1" t="n">
        <v>46252</v>
      </c>
      <c r="F406" t="inlineStr">
        <is>
          <t>VÄSTRA GÖTALANDS LÄN</t>
        </is>
      </c>
      <c r="G406" t="inlineStr">
        <is>
          <t>MUNKEDAL</t>
        </is>
      </c>
      <c r="I406" t="n">
        <v>9.1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46252</v>
      </c>
      <c r="F407" t="inlineStr">
        <is>
          <t>VÄSTRA GÖTALANDS LÄN</t>
        </is>
      </c>
      <c r="G407" t="inlineStr">
        <is>
          <t>MUNKEDAL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46217</v>
      </c>
      <c r="E408" s="1" t="n">
        <v>46252</v>
      </c>
      <c r="F408" t="inlineStr">
        <is>
          <t>VÄSTRA GÖTALANDS LÄN</t>
        </is>
      </c>
      <c r="G408" t="inlineStr">
        <is>
          <t>MUNKEDAL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46252</v>
      </c>
      <c r="F409" t="inlineStr">
        <is>
          <t>VÄSTRA GÖTALANDS LÄN</t>
        </is>
      </c>
      <c r="G409" t="inlineStr">
        <is>
          <t>MUNKEDAL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46252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46252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46252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46252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46252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2026-08-18T01:45:37Z</dcterms:created>
  <dcterms:modified xmlns:dcterms="http://purl.org/dc/terms/" xmlns:xsi="http://www.w3.org/2001/XMLSchema-instance" xsi:type="dcterms:W3CDTF">2026-08-18T01:45:38Z</dcterms:modified>
</cp:coreProperties>
</file>